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etatfr-my.sharepoint.com/personal/alexandre_bourquenoud_studentfr_ch/Documents/PHIE/jeu_du_moulin_alexandre_bourquenoud/jeu_du_moulin_2025_boura/jeu_du_moulin_boura/pcb/bom/"/>
    </mc:Choice>
  </mc:AlternateContent>
  <xr:revisionPtr revIDLastSave="0" documentId="8_{0A27B159-3A59-495E-A08E-ADA4434E27F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Sheet1!$12:$13</definedName>
    <definedName name="_xlnm.Print_Area" localSheetId="0">Sheet1!$A:$M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4" i="1" l="1"/>
  <c r="A34" i="1"/>
  <c r="M33" i="1"/>
  <c r="A33" i="1"/>
  <c r="M32" i="1"/>
  <c r="A32" i="1"/>
  <c r="M31" i="1"/>
  <c r="A31" i="1"/>
  <c r="M30" i="1"/>
  <c r="A30" i="1"/>
  <c r="M29" i="1"/>
  <c r="A29" i="1"/>
  <c r="M28" i="1"/>
  <c r="A28" i="1"/>
  <c r="M27" i="1"/>
  <c r="A27" i="1"/>
  <c r="M26" i="1"/>
  <c r="A26" i="1"/>
  <c r="M25" i="1"/>
  <c r="A25" i="1"/>
  <c r="M24" i="1"/>
  <c r="A24" i="1"/>
  <c r="M23" i="1"/>
  <c r="A23" i="1"/>
  <c r="M22" i="1"/>
  <c r="A22" i="1"/>
  <c r="M21" i="1"/>
  <c r="A21" i="1"/>
  <c r="M20" i="1"/>
  <c r="A20" i="1"/>
  <c r="M19" i="1"/>
  <c r="A19" i="1"/>
  <c r="M18" i="1"/>
  <c r="A18" i="1"/>
  <c r="M17" i="1"/>
  <c r="A17" i="1"/>
  <c r="M16" i="1"/>
  <c r="A16" i="1"/>
  <c r="M15" i="1"/>
  <c r="M14" i="1"/>
  <c r="A5" i="2"/>
  <c r="A4" i="2"/>
  <c r="A14" i="1"/>
  <c r="A15" i="1"/>
  <c r="M36" i="1" l="1"/>
  <c r="B6" i="1"/>
  <c r="A9" i="2"/>
  <c r="A13" i="2"/>
  <c r="B3" i="1" l="1"/>
  <c r="B12" i="1" s="1"/>
</calcChain>
</file>

<file path=xl/sharedStrings.xml><?xml version="1.0" encoding="utf-8"?>
<sst xmlns="http://schemas.openxmlformats.org/spreadsheetml/2006/main" count="131" uniqueCount="118">
  <si>
    <t>Désignation:</t>
  </si>
  <si>
    <t>Révision</t>
  </si>
  <si>
    <t>Date</t>
  </si>
  <si>
    <t>Item</t>
  </si>
  <si>
    <t>Ecole des Métiers de Fribourg</t>
  </si>
  <si>
    <t>TOTAL</t>
  </si>
  <si>
    <t>Sous total</t>
  </si>
  <si>
    <t>Jeu du Moulin</t>
  </si>
  <si>
    <t>PROTOTYPE</t>
  </si>
  <si>
    <t>Bourquenoud Alexandre</t>
  </si>
  <si>
    <t>--/--/--</t>
  </si>
  <si>
    <t>Quantity</t>
  </si>
  <si>
    <t>Name</t>
  </si>
  <si>
    <t>10uF</t>
  </si>
  <si>
    <t>100nF</t>
  </si>
  <si>
    <t>1uF</t>
  </si>
  <si>
    <t>47nF</t>
  </si>
  <si>
    <t>AAA3528SURKCGKC09</t>
  </si>
  <si>
    <t>Zener 2.4V</t>
  </si>
  <si>
    <t>STM32L072CZT6</t>
  </si>
  <si>
    <t>Voltage Regulator 3.3V</t>
  </si>
  <si>
    <t>MOSFET Channel P</t>
  </si>
  <si>
    <t>NMT</t>
  </si>
  <si>
    <t>10K</t>
  </si>
  <si>
    <t>39K</t>
  </si>
  <si>
    <t>220E</t>
  </si>
  <si>
    <t>5.1k</t>
  </si>
  <si>
    <t>150E</t>
  </si>
  <si>
    <t>SW_SPDT</t>
  </si>
  <si>
    <t>TP rouge</t>
  </si>
  <si>
    <t>TP noir</t>
  </si>
  <si>
    <t>Test Point</t>
  </si>
  <si>
    <t>CONNECTOR TC2030-NL</t>
  </si>
  <si>
    <t>USB4520-03-0-A_REVA</t>
  </si>
  <si>
    <t>Description</t>
  </si>
  <si>
    <t>C X5R 10uF 20% 10V 0603</t>
  </si>
  <si>
    <t>C X7R 0.1uF 10% 50V 0603</t>
  </si>
  <si>
    <t>C X7R 1uF 10% 16V 0603</t>
  </si>
  <si>
    <t>C X7R 47nF 10% 50V 0603</t>
  </si>
  <si>
    <t>Diodes - Zener 2.4 V 500 mW ±5% Montage en surface SOD-123</t>
  </si>
  <si>
    <t>IC MCU 32BIT 192KB FLASH UFQFPN48s</t>
  </si>
  <si>
    <t>3.3-Volt Low Drop Out Voltage Regulatator</t>
  </si>
  <si>
    <t>MOSFET Pch -80V -10A TO-252, Power MOSFET</t>
  </si>
  <si>
    <t>R SMD NOT MOUNTED  1% 60mW  CHIP 0603</t>
  </si>
  <si>
    <t>R SMD 10K  1%  60mW  CHIP 0603</t>
  </si>
  <si>
    <t>R SMD 39K  1%  60mW  CHIP 0603</t>
  </si>
  <si>
    <t>R SMD 220E  1% 60mW  CHIP 0603</t>
  </si>
  <si>
    <t>5.1 kOhms ±1% 0,1W, 1/10W Pavé résistif 0603 (1608 métrique) AutomobileAEC-Q200 Couche épaisse</t>
  </si>
  <si>
    <t>R SMD 150E  1% 60mW  CHIP 0603</t>
  </si>
  <si>
    <t>Switch slide SPDT 300mA 6V</t>
  </si>
  <si>
    <t>Point de test CI isolé rouge</t>
  </si>
  <si>
    <t>Point de test CI isolé noir</t>
  </si>
  <si>
    <t>Point de Test SMD</t>
  </si>
  <si>
    <t>Connecteur pour TC2030-NL</t>
  </si>
  <si>
    <t>USB-C (USB TYPE-C) USB 2.0 Receptacle Connector 24 (16+8 Dummy) Position Board Edge, Cutout; Surface Mount; Through Hole, Right Angle</t>
  </si>
  <si>
    <t>Designator</t>
  </si>
  <si>
    <t>C1</t>
  </si>
  <si>
    <t>C2, C3, C5, C6, C9</t>
  </si>
  <si>
    <t>C4, C12, C13</t>
  </si>
  <si>
    <t>C7, C8, C10, C11</t>
  </si>
  <si>
    <t>D1, D2, D3, D4, D5, D6, D7, D8, D9, D10, D11, D12, D13, D14, D15, D16, D17, D18, D19, D20, D21, D22, D23, D24</t>
  </si>
  <si>
    <t>D25</t>
  </si>
  <si>
    <t>K1</t>
  </si>
  <si>
    <t>K2</t>
  </si>
  <si>
    <t>Q1</t>
  </si>
  <si>
    <t>R1</t>
  </si>
  <si>
    <t>R2, R3, R5, R6, R7, R8, R9, R10, R11, R12, R13</t>
  </si>
  <si>
    <t>R4</t>
  </si>
  <si>
    <t>R14</t>
  </si>
  <si>
    <t>R15, R16</t>
  </si>
  <si>
    <t>R17, R18, R19, R20, R21, R22, R23, R24, R25, R26, R27</t>
  </si>
  <si>
    <t>S1</t>
  </si>
  <si>
    <t>TP1, TP7</t>
  </si>
  <si>
    <t>TP2, TP8</t>
  </si>
  <si>
    <t>TP3, TP4, TP5, TP6</t>
  </si>
  <si>
    <t>X1</t>
  </si>
  <si>
    <t>X2</t>
  </si>
  <si>
    <t>Manufacturer 1</t>
  </si>
  <si>
    <t>Kingbright</t>
  </si>
  <si>
    <t>onsemi</t>
  </si>
  <si>
    <t>STMICROELECTRONICS</t>
  </si>
  <si>
    <t>Microship Technology</t>
  </si>
  <si>
    <t>Vishay Siliconix</t>
  </si>
  <si>
    <t>YAGEO</t>
  </si>
  <si>
    <t>C&amp;K</t>
  </si>
  <si>
    <t>Keystone Electronics</t>
  </si>
  <si>
    <t>GCT</t>
  </si>
  <si>
    <t>Manufacturer Part Number 1</t>
  </si>
  <si>
    <t>C0603C106M8PACTU</t>
  </si>
  <si>
    <t>C0603C104K5RAC</t>
  </si>
  <si>
    <t>C0603C105K4RAC</t>
  </si>
  <si>
    <t>C0603C473K5RAC</t>
  </si>
  <si>
    <t>MMSZ4681T1G</t>
  </si>
  <si>
    <t>STM32L072CZU6</t>
  </si>
  <si>
    <t>MCP1700T-3302E/TT</t>
  </si>
  <si>
    <t>MOSFET P-CH 80V 2.2A SOT23-3</t>
  </si>
  <si>
    <t>RC0603FR-075K1L</t>
  </si>
  <si>
    <t>JS202011AQN</t>
  </si>
  <si>
    <t>USB4520-03-0-A</t>
  </si>
  <si>
    <t>Supplier 1</t>
  </si>
  <si>
    <t>DigiKey</t>
  </si>
  <si>
    <t>Digikey</t>
  </si>
  <si>
    <t>Supplier Part Number 1</t>
  </si>
  <si>
    <t>754-AAA3528SURKCGKC09CT-ND</t>
  </si>
  <si>
    <t>MMSZ4681T1GOSCT-ND</t>
  </si>
  <si>
    <t>497-STM32L072CZU6-ND</t>
  </si>
  <si>
    <t>MCP1700T3302ETTCT-ND</t>
  </si>
  <si>
    <t>742-SQ2337ES-T1_BE3CT-ND</t>
  </si>
  <si>
    <t>311-5.10KHRCT-ND</t>
  </si>
  <si>
    <t>401-2000-ND</t>
  </si>
  <si>
    <t>36-5000-ND</t>
  </si>
  <si>
    <t>36-5001-ND</t>
  </si>
  <si>
    <t>2073-USB4520-03-0-ACT-ND</t>
  </si>
  <si>
    <t>Supplier Unit Price 1</t>
  </si>
  <si>
    <t/>
  </si>
  <si>
    <t>1.0</t>
  </si>
  <si>
    <t>0</t>
  </si>
  <si>
    <t>jeu_du_moulin_boura_Project.BomDoc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</si>
</sst>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8"/>
      <color theme="5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5" fillId="0" borderId="1" xfId="0" applyFont="1" applyBorder="1"/>
    <xf numFmtId="0" fontId="6" fillId="0" borderId="0" xfId="0" applyFont="1"/>
    <xf numFmtId="0" fontId="7" fillId="0" borderId="3" xfId="0" applyFont="1" applyBorder="1"/>
    <xf numFmtId="0" fontId="8" fillId="0" borderId="3" xfId="0" applyFont="1" applyBorder="1"/>
    <xf numFmtId="0" fontId="6" fillId="0" borderId="3" xfId="0" applyFont="1" applyBorder="1"/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4" xfId="0" applyFont="1" applyBorder="1"/>
    <xf numFmtId="0" fontId="6" fillId="0" borderId="5" xfId="0" applyFont="1" applyBorder="1"/>
    <xf numFmtId="0" fontId="8" fillId="0" borderId="4" xfId="0" applyFont="1" applyBorder="1"/>
    <xf numFmtId="0" fontId="8" fillId="0" borderId="0" xfId="0" applyFont="1" applyAlignment="1">
      <alignment vertical="center" wrapText="1"/>
    </xf>
    <xf numFmtId="0" fontId="8" fillId="0" borderId="5" xfId="0" applyFont="1" applyBorder="1"/>
    <xf numFmtId="0" fontId="5" fillId="0" borderId="6" xfId="0" applyFont="1" applyBorder="1" applyAlignment="1">
      <alignment horizontal="center" vertical="center"/>
    </xf>
    <xf numFmtId="49" fontId="0" fillId="0" borderId="0" xfId="0" applyNumberFormat="1"/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14" xfId="0" applyFont="1" applyBorder="1"/>
    <xf numFmtId="2" fontId="8" fillId="0" borderId="3" xfId="0" applyNumberFormat="1" applyFont="1" applyBorder="1" applyAlignment="1">
      <alignment horizontal="center" vertical="center" wrapText="1"/>
    </xf>
    <xf numFmtId="2" fontId="6" fillId="0" borderId="0" xfId="0" applyNumberFormat="1" applyFont="1"/>
    <xf numFmtId="2" fontId="6" fillId="0" borderId="14" xfId="0" applyNumberFormat="1" applyFont="1" applyBorder="1"/>
    <xf numFmtId="0" fontId="9" fillId="0" borderId="1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1" xfId="0" quotePrefix="1" applyFont="1" applyBorder="1" applyAlignment="1">
      <alignment horizontal="left"/>
    </xf>
    <xf numFmtId="0" fontId="11" fillId="0" borderId="9" xfId="0" quotePrefix="1" applyFont="1" applyBorder="1" applyAlignment="1">
      <alignment horizontal="center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8" fillId="0" borderId="4" xfId="0" quotePrefix="1" applyFont="1" applyBorder="1" applyAlignment="1">
      <alignment horizontal="center" vertical="center" wrapText="1"/>
    </xf>
    <xf numFmtId="0" fontId="4" fillId="0" borderId="8" xfId="1" quotePrefix="1" applyFont="1" applyBorder="1" applyAlignment="1">
      <alignment horizontal="center" vertical="center" wrapText="1"/>
    </xf>
    <xf numFmtId="0" fontId="2" fillId="0" borderId="0" xfId="1" quotePrefix="1" applyFont="1" applyAlignment="1">
      <alignment vertical="center" wrapText="1"/>
    </xf>
    <xf numFmtId="0" fontId="6" fillId="0" borderId="0" xfId="0" quotePrefix="1" applyFont="1"/>
    <xf numFmtId="49" fontId="0" fillId="0" borderId="0" xfId="0" quotePrefix="1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showGridLines="0" tabSelected="1" topLeftCell="E2" zoomScaleNormal="100" workbookViewId="0">
      <selection activeCell="M15" sqref="M15"/>
    </sheetView>
  </sheetViews>
  <sheetFormatPr baseColWidth="10" defaultColWidth="9.140625" defaultRowHeight="14.25" x14ac:dyDescent="0.2"/>
  <cols>
    <col min="1" max="1" width="9.140625" style="9"/>
    <col min="2" max="2" width="5.28515625" style="13" customWidth="1"/>
    <col min="3" max="3" width="6.28515625" style="13" customWidth="1"/>
    <col min="4" max="4" width="8.28515625" style="9" customWidth="1"/>
    <col min="5" max="5" width="10.28515625" style="9" customWidth="1"/>
    <col min="6" max="6" width="59.28515625" style="9" customWidth="1"/>
    <col min="7" max="7" width="11.28515625" style="9" customWidth="1"/>
    <col min="8" max="8" width="16.7109375" style="9" customWidth="1"/>
    <col min="9" max="9" width="22.85546875" style="9" customWidth="1"/>
    <col min="10" max="10" width="10.28515625" style="9" customWidth="1"/>
    <col min="11" max="11" width="17.85546875" style="4" customWidth="1"/>
    <col min="12" max="13" width="9" style="4" customWidth="1"/>
    <col min="14" max="16384" width="9.140625" style="4"/>
  </cols>
  <sheetData>
    <row r="1" spans="1:13" hidden="1" x14ac:dyDescent="0.2"/>
    <row r="2" spans="1:13" ht="15" thickBot="1" x14ac:dyDescent="0.25"/>
    <row r="3" spans="1:13" ht="18.75" customHeight="1" thickBot="1" x14ac:dyDescent="0.3">
      <c r="A3" s="4"/>
      <c r="B3" s="28" t="str">
        <f>CONCATENATE("",Sheet2!A5)</f>
        <v xml:space="preserve">  1.0.0</v>
      </c>
      <c r="C3" s="29"/>
      <c r="D3" s="29"/>
      <c r="E3" s="30"/>
      <c r="F3" s="15" t="s">
        <v>4</v>
      </c>
      <c r="G3" s="3" t="s">
        <v>0</v>
      </c>
      <c r="H3" s="3"/>
      <c r="I3" s="52" t="s">
        <v>7</v>
      </c>
      <c r="J3" s="45"/>
      <c r="K3" s="45"/>
      <c r="L3" s="45"/>
      <c r="M3" s="46"/>
    </row>
    <row r="4" spans="1:13" ht="15" thickBot="1" x14ac:dyDescent="0.25">
      <c r="A4" s="4"/>
      <c r="C4" s="4"/>
      <c r="D4" s="4"/>
      <c r="E4" s="4"/>
      <c r="F4" s="4"/>
      <c r="G4" s="4"/>
      <c r="H4" s="4"/>
      <c r="I4" s="4"/>
      <c r="J4" s="4"/>
    </row>
    <row r="5" spans="1:13" ht="13.9" customHeight="1" x14ac:dyDescent="0.2">
      <c r="A5" s="4"/>
      <c r="B5" s="37" t="s">
        <v>1</v>
      </c>
      <c r="C5" s="38"/>
      <c r="D5" s="5"/>
      <c r="E5" s="10" t="s">
        <v>2</v>
      </c>
      <c r="F5" s="53" t="s">
        <v>8</v>
      </c>
      <c r="G5" s="11"/>
      <c r="H5" s="11"/>
      <c r="I5" s="11"/>
      <c r="J5" s="41"/>
      <c r="K5" s="41"/>
      <c r="L5" s="41"/>
      <c r="M5" s="41"/>
    </row>
    <row r="6" spans="1:13" ht="15" customHeight="1" x14ac:dyDescent="0.2">
      <c r="A6" s="4"/>
      <c r="B6" s="26" t="str">
        <f>Sheet2!A4</f>
        <v>1.0.0</v>
      </c>
      <c r="C6" s="27"/>
      <c r="D6" s="54" t="s">
        <v>9</v>
      </c>
      <c r="E6" s="55" t="s">
        <v>10</v>
      </c>
      <c r="F6" s="24"/>
      <c r="G6" s="11"/>
      <c r="H6" s="11"/>
      <c r="I6" s="11"/>
      <c r="J6" s="41"/>
      <c r="K6" s="41"/>
      <c r="L6" s="41"/>
      <c r="M6" s="41"/>
    </row>
    <row r="7" spans="1:13" ht="13.9" customHeight="1" thickBot="1" x14ac:dyDescent="0.25">
      <c r="A7" s="4"/>
      <c r="B7" s="12"/>
      <c r="C7" s="14"/>
      <c r="D7" s="6"/>
      <c r="E7" s="12"/>
      <c r="F7" s="25"/>
      <c r="G7" s="11"/>
      <c r="H7" s="7"/>
      <c r="I7" s="7"/>
      <c r="J7" s="41"/>
      <c r="K7" s="41"/>
      <c r="L7" s="41"/>
      <c r="M7" s="41"/>
    </row>
    <row r="8" spans="1:13" x14ac:dyDescent="0.2">
      <c r="A8" s="4"/>
      <c r="B8" s="12"/>
      <c r="C8" s="14"/>
      <c r="D8" s="6"/>
      <c r="E8" s="6"/>
      <c r="F8" s="4"/>
      <c r="G8" s="7"/>
      <c r="H8" s="7"/>
      <c r="I8" s="7"/>
      <c r="J8" s="41"/>
      <c r="K8" s="41"/>
      <c r="L8" s="41"/>
      <c r="M8" s="41"/>
    </row>
    <row r="9" spans="1:13" x14ac:dyDescent="0.2">
      <c r="A9" s="4"/>
      <c r="B9" s="12"/>
      <c r="C9" s="14"/>
      <c r="D9" s="6"/>
      <c r="E9" s="12"/>
      <c r="F9" s="23"/>
      <c r="G9" s="11"/>
      <c r="H9" s="11"/>
      <c r="I9" s="11"/>
      <c r="J9" s="41"/>
      <c r="K9" s="41"/>
      <c r="L9" s="41"/>
      <c r="M9" s="41"/>
    </row>
    <row r="10" spans="1:13" x14ac:dyDescent="0.2">
      <c r="A10" s="4"/>
      <c r="B10" s="12"/>
      <c r="C10" s="14"/>
      <c r="D10" s="6"/>
      <c r="E10" s="6"/>
      <c r="F10" s="4"/>
      <c r="G10" s="42"/>
      <c r="H10" s="43"/>
      <c r="I10" s="43"/>
      <c r="J10" s="43"/>
      <c r="K10" s="43"/>
      <c r="L10" s="43"/>
      <c r="M10" s="44"/>
    </row>
    <row r="11" spans="1:13" ht="15" thickBo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3" ht="16.5" thickBot="1" x14ac:dyDescent="0.25">
      <c r="A12" s="4"/>
      <c r="B12" s="34" t="str">
        <f>B3</f>
        <v xml:space="preserve">  1.0.0</v>
      </c>
      <c r="C12" s="35"/>
      <c r="D12" s="35"/>
      <c r="E12" s="36"/>
      <c r="F12" s="4"/>
      <c r="G12" s="4"/>
      <c r="H12" s="4"/>
      <c r="I12" s="4"/>
      <c r="J12" s="4"/>
    </row>
    <row r="13" spans="1:13" ht="33.75" x14ac:dyDescent="0.2">
      <c r="A13" s="8" t="s">
        <v>3</v>
      </c>
      <c r="B13" s="31" t="s">
        <v>11</v>
      </c>
      <c r="C13" s="31"/>
      <c r="D13" s="39" t="s">
        <v>12</v>
      </c>
      <c r="E13" s="40"/>
      <c r="F13" s="8" t="s">
        <v>34</v>
      </c>
      <c r="G13" s="8" t="s">
        <v>55</v>
      </c>
      <c r="H13" s="8" t="s">
        <v>77</v>
      </c>
      <c r="I13" s="8" t="s">
        <v>87</v>
      </c>
      <c r="J13" s="8" t="s">
        <v>99</v>
      </c>
      <c r="K13" s="8" t="s">
        <v>102</v>
      </c>
      <c r="L13" s="8" t="s">
        <v>113</v>
      </c>
      <c r="M13" s="8" t="s">
        <v>6</v>
      </c>
    </row>
    <row r="14" spans="1:13" x14ac:dyDescent="0.2">
      <c r="A14" s="18">
        <f>ROW(B13) - ROW($B$12)</f>
        <v>1</v>
      </c>
      <c r="B14" s="33">
        <v>1</v>
      </c>
      <c r="C14" s="33"/>
      <c r="D14" s="26" t="s">
        <v>13</v>
      </c>
      <c r="E14" s="27"/>
      <c r="F14" s="17" t="s">
        <v>35</v>
      </c>
      <c r="G14" s="18" t="s">
        <v>56</v>
      </c>
      <c r="H14" s="18"/>
      <c r="I14" s="18" t="s">
        <v>88</v>
      </c>
      <c r="J14" s="18"/>
      <c r="K14" s="18"/>
      <c r="L14" s="20"/>
      <c r="M14" s="20">
        <f>L14*B14</f>
        <v>0</v>
      </c>
    </row>
    <row r="15" spans="1:13" ht="22.5" x14ac:dyDescent="0.2">
      <c r="A15" s="18">
        <f>ROW(B14) - ROW($B$12)</f>
        <v>2</v>
      </c>
      <c r="B15" s="32">
        <v>5</v>
      </c>
      <c r="C15" s="32"/>
      <c r="D15" s="26" t="s">
        <v>14</v>
      </c>
      <c r="E15" s="27"/>
      <c r="F15" s="17" t="s">
        <v>36</v>
      </c>
      <c r="G15" s="18" t="s">
        <v>57</v>
      </c>
      <c r="H15" s="18"/>
      <c r="I15" s="18" t="s">
        <v>89</v>
      </c>
      <c r="J15" s="18"/>
      <c r="K15" s="18"/>
      <c r="L15" s="20"/>
      <c r="M15" s="20">
        <f>L15*B15</f>
        <v>0</v>
      </c>
    </row>
    <row r="16" spans="1:13" x14ac:dyDescent="0.2">
      <c r="A16" s="18">
        <f>ROW(B15) - ROW($B$12)</f>
        <v>3</v>
      </c>
      <c r="B16" s="33">
        <v>3</v>
      </c>
      <c r="C16" s="33"/>
      <c r="D16" s="26" t="s">
        <v>15</v>
      </c>
      <c r="E16" s="27"/>
      <c r="F16" s="17" t="s">
        <v>37</v>
      </c>
      <c r="G16" s="18" t="s">
        <v>58</v>
      </c>
      <c r="H16" s="18"/>
      <c r="I16" s="18" t="s">
        <v>90</v>
      </c>
      <c r="J16" s="18"/>
      <c r="K16" s="18"/>
      <c r="L16" s="20"/>
      <c r="M16" s="20">
        <f>L16*B16</f>
        <v>0</v>
      </c>
    </row>
    <row r="17" spans="1:13" ht="22.5" x14ac:dyDescent="0.2">
      <c r="A17" s="18">
        <f>ROW(B16) - ROW($B$12)</f>
        <v>4</v>
      </c>
      <c r="B17" s="32">
        <v>4</v>
      </c>
      <c r="C17" s="32"/>
      <c r="D17" s="26" t="s">
        <v>16</v>
      </c>
      <c r="E17" s="27"/>
      <c r="F17" s="17" t="s">
        <v>38</v>
      </c>
      <c r="G17" s="18" t="s">
        <v>59</v>
      </c>
      <c r="H17" s="18"/>
      <c r="I17" s="18" t="s">
        <v>91</v>
      </c>
      <c r="J17" s="18"/>
      <c r="K17" s="18"/>
      <c r="L17" s="20"/>
      <c r="M17" s="20">
        <f>L17*B17</f>
        <v>0</v>
      </c>
    </row>
    <row r="18" spans="1:13" ht="90" x14ac:dyDescent="0.2">
      <c r="A18" s="18">
        <f>ROW(B17) - ROW($B$12)</f>
        <v>5</v>
      </c>
      <c r="B18" s="33">
        <v>24</v>
      </c>
      <c r="C18" s="33"/>
      <c r="D18" s="26" t="s">
        <v>17</v>
      </c>
      <c r="E18" s="27"/>
      <c r="F18" s="17" t="s">
        <v>17</v>
      </c>
      <c r="G18" s="18" t="s">
        <v>60</v>
      </c>
      <c r="H18" s="18" t="s">
        <v>78</v>
      </c>
      <c r="I18" s="18" t="s">
        <v>17</v>
      </c>
      <c r="J18" s="18" t="s">
        <v>100</v>
      </c>
      <c r="K18" s="18" t="s">
        <v>103</v>
      </c>
      <c r="L18" s="20">
        <v>0.40200000000000002</v>
      </c>
      <c r="M18" s="20">
        <f>L18*B18</f>
        <v>9.6479999999999997</v>
      </c>
    </row>
    <row r="19" spans="1:13" ht="22.5" x14ac:dyDescent="0.2">
      <c r="A19" s="18">
        <f>ROW(B18) - ROW($B$12)</f>
        <v>6</v>
      </c>
      <c r="B19" s="32">
        <v>1</v>
      </c>
      <c r="C19" s="32"/>
      <c r="D19" s="26" t="s">
        <v>18</v>
      </c>
      <c r="E19" s="27"/>
      <c r="F19" s="17" t="s">
        <v>39</v>
      </c>
      <c r="G19" s="18" t="s">
        <v>61</v>
      </c>
      <c r="H19" s="18" t="s">
        <v>79</v>
      </c>
      <c r="I19" s="18" t="s">
        <v>92</v>
      </c>
      <c r="J19" s="18" t="s">
        <v>100</v>
      </c>
      <c r="K19" s="18" t="s">
        <v>104</v>
      </c>
      <c r="L19" s="20">
        <v>9.5460000000000003E-2</v>
      </c>
      <c r="M19" s="20">
        <f>L19*B19</f>
        <v>9.5460000000000003E-2</v>
      </c>
    </row>
    <row r="20" spans="1:13" ht="22.5" x14ac:dyDescent="0.2">
      <c r="A20" s="18">
        <f>ROW(B19) - ROW($B$12)</f>
        <v>7</v>
      </c>
      <c r="B20" s="33">
        <v>1</v>
      </c>
      <c r="C20" s="33"/>
      <c r="D20" s="26" t="s">
        <v>19</v>
      </c>
      <c r="E20" s="27"/>
      <c r="F20" s="17" t="s">
        <v>40</v>
      </c>
      <c r="G20" s="18" t="s">
        <v>62</v>
      </c>
      <c r="H20" s="18" t="s">
        <v>80</v>
      </c>
      <c r="I20" s="18" t="s">
        <v>93</v>
      </c>
      <c r="J20" s="18" t="s">
        <v>101</v>
      </c>
      <c r="K20" s="18" t="s">
        <v>105</v>
      </c>
      <c r="L20" s="20">
        <v>4.62</v>
      </c>
      <c r="M20" s="20">
        <f>L20*B20</f>
        <v>4.62</v>
      </c>
    </row>
    <row r="21" spans="1:13" ht="22.5" x14ac:dyDescent="0.2">
      <c r="A21" s="18">
        <f>ROW(B20) - ROW($B$12)</f>
        <v>8</v>
      </c>
      <c r="B21" s="32">
        <v>1</v>
      </c>
      <c r="C21" s="32"/>
      <c r="D21" s="26" t="s">
        <v>20</v>
      </c>
      <c r="E21" s="27"/>
      <c r="F21" s="17" t="s">
        <v>41</v>
      </c>
      <c r="G21" s="18" t="s">
        <v>63</v>
      </c>
      <c r="H21" s="18" t="s">
        <v>81</v>
      </c>
      <c r="I21" s="18" t="s">
        <v>94</v>
      </c>
      <c r="J21" s="18" t="s">
        <v>100</v>
      </c>
      <c r="K21" s="18" t="s">
        <v>106</v>
      </c>
      <c r="L21" s="20">
        <v>0.48924000000000001</v>
      </c>
      <c r="M21" s="20">
        <f>L21*B21</f>
        <v>0.48924000000000001</v>
      </c>
    </row>
    <row r="22" spans="1:13" ht="22.5" x14ac:dyDescent="0.2">
      <c r="A22" s="18">
        <f>ROW(B21) - ROW($B$12)</f>
        <v>9</v>
      </c>
      <c r="B22" s="33">
        <v>1</v>
      </c>
      <c r="C22" s="33"/>
      <c r="D22" s="26" t="s">
        <v>21</v>
      </c>
      <c r="E22" s="27"/>
      <c r="F22" s="17" t="s">
        <v>42</v>
      </c>
      <c r="G22" s="18" t="s">
        <v>64</v>
      </c>
      <c r="H22" s="18" t="s">
        <v>82</v>
      </c>
      <c r="I22" s="18" t="s">
        <v>95</v>
      </c>
      <c r="J22" s="18" t="s">
        <v>101</v>
      </c>
      <c r="K22" s="18" t="s">
        <v>107</v>
      </c>
      <c r="L22" s="20">
        <v>0.54</v>
      </c>
      <c r="M22" s="20">
        <f>L22*B22</f>
        <v>0.54</v>
      </c>
    </row>
    <row r="23" spans="1:13" x14ac:dyDescent="0.2">
      <c r="A23" s="18">
        <f>ROW(B22) - ROW($B$12)</f>
        <v>10</v>
      </c>
      <c r="B23" s="32">
        <v>1</v>
      </c>
      <c r="C23" s="32"/>
      <c r="D23" s="26" t="s">
        <v>22</v>
      </c>
      <c r="E23" s="27"/>
      <c r="F23" s="17" t="s">
        <v>43</v>
      </c>
      <c r="G23" s="18" t="s">
        <v>65</v>
      </c>
      <c r="H23" s="18"/>
      <c r="I23" s="18"/>
      <c r="J23" s="18"/>
      <c r="K23" s="18"/>
      <c r="L23" s="20"/>
      <c r="M23" s="20">
        <f>L23*B23</f>
        <v>0</v>
      </c>
    </row>
    <row r="24" spans="1:13" ht="45" x14ac:dyDescent="0.2">
      <c r="A24" s="18">
        <f>ROW(B23) - ROW($B$12)</f>
        <v>11</v>
      </c>
      <c r="B24" s="33">
        <v>11</v>
      </c>
      <c r="C24" s="33"/>
      <c r="D24" s="26" t="s">
        <v>23</v>
      </c>
      <c r="E24" s="27"/>
      <c r="F24" s="17" t="s">
        <v>44</v>
      </c>
      <c r="G24" s="18" t="s">
        <v>66</v>
      </c>
      <c r="H24" s="18"/>
      <c r="I24" s="18"/>
      <c r="J24" s="18"/>
      <c r="K24" s="18"/>
      <c r="L24" s="20"/>
      <c r="M24" s="20">
        <f>L24*B24</f>
        <v>0</v>
      </c>
    </row>
    <row r="25" spans="1:13" x14ac:dyDescent="0.2">
      <c r="A25" s="18">
        <f>ROW(B24) - ROW($B$12)</f>
        <v>12</v>
      </c>
      <c r="B25" s="32">
        <v>1</v>
      </c>
      <c r="C25" s="32"/>
      <c r="D25" s="26" t="s">
        <v>24</v>
      </c>
      <c r="E25" s="27"/>
      <c r="F25" s="17" t="s">
        <v>45</v>
      </c>
      <c r="G25" s="18" t="s">
        <v>67</v>
      </c>
      <c r="H25" s="18"/>
      <c r="I25" s="18"/>
      <c r="J25" s="18"/>
      <c r="K25" s="18"/>
      <c r="L25" s="20"/>
      <c r="M25" s="20">
        <f>L25*B25</f>
        <v>0</v>
      </c>
    </row>
    <row r="26" spans="1:13" x14ac:dyDescent="0.2">
      <c r="A26" s="18">
        <f>ROW(B25) - ROW($B$12)</f>
        <v>13</v>
      </c>
      <c r="B26" s="33">
        <v>1</v>
      </c>
      <c r="C26" s="33"/>
      <c r="D26" s="26" t="s">
        <v>25</v>
      </c>
      <c r="E26" s="27"/>
      <c r="F26" s="17" t="s">
        <v>46</v>
      </c>
      <c r="G26" s="18" t="s">
        <v>68</v>
      </c>
      <c r="H26" s="18"/>
      <c r="I26" s="18"/>
      <c r="J26" s="18"/>
      <c r="K26" s="18"/>
      <c r="L26" s="20"/>
      <c r="M26" s="20">
        <f>L26*B26</f>
        <v>0</v>
      </c>
    </row>
    <row r="27" spans="1:13" ht="22.5" x14ac:dyDescent="0.2">
      <c r="A27" s="18">
        <f>ROW(B26) - ROW($B$12)</f>
        <v>14</v>
      </c>
      <c r="B27" s="32">
        <v>2</v>
      </c>
      <c r="C27" s="32"/>
      <c r="D27" s="26" t="s">
        <v>26</v>
      </c>
      <c r="E27" s="27"/>
      <c r="F27" s="17" t="s">
        <v>47</v>
      </c>
      <c r="G27" s="18" t="s">
        <v>69</v>
      </c>
      <c r="H27" s="18" t="s">
        <v>83</v>
      </c>
      <c r="I27" s="18" t="s">
        <v>96</v>
      </c>
      <c r="J27" s="18" t="s">
        <v>101</v>
      </c>
      <c r="K27" s="18" t="s">
        <v>108</v>
      </c>
      <c r="L27" s="20">
        <v>8.9999999999999993E-3</v>
      </c>
      <c r="M27" s="20">
        <f>L27*B27</f>
        <v>1.7999999999999999E-2</v>
      </c>
    </row>
    <row r="28" spans="1:13" ht="45" x14ac:dyDescent="0.2">
      <c r="A28" s="18">
        <f>ROW(B27) - ROW($B$12)</f>
        <v>15</v>
      </c>
      <c r="B28" s="33">
        <v>11</v>
      </c>
      <c r="C28" s="33"/>
      <c r="D28" s="26" t="s">
        <v>27</v>
      </c>
      <c r="E28" s="27"/>
      <c r="F28" s="17" t="s">
        <v>48</v>
      </c>
      <c r="G28" s="18" t="s">
        <v>70</v>
      </c>
      <c r="H28" s="18"/>
      <c r="I28" s="18"/>
      <c r="J28" s="18"/>
      <c r="K28" s="18"/>
      <c r="L28" s="20"/>
      <c r="M28" s="20">
        <f>L28*B28</f>
        <v>0</v>
      </c>
    </row>
    <row r="29" spans="1:13" x14ac:dyDescent="0.2">
      <c r="A29" s="18">
        <f>ROW(B28) - ROW($B$12)</f>
        <v>16</v>
      </c>
      <c r="B29" s="32">
        <v>1</v>
      </c>
      <c r="C29" s="32"/>
      <c r="D29" s="26" t="s">
        <v>28</v>
      </c>
      <c r="E29" s="27"/>
      <c r="F29" s="17" t="s">
        <v>49</v>
      </c>
      <c r="G29" s="18" t="s">
        <v>71</v>
      </c>
      <c r="H29" s="18" t="s">
        <v>84</v>
      </c>
      <c r="I29" s="18" t="s">
        <v>97</v>
      </c>
      <c r="J29" s="18" t="s">
        <v>101</v>
      </c>
      <c r="K29" s="18" t="s">
        <v>109</v>
      </c>
      <c r="L29" s="20">
        <v>0.75</v>
      </c>
      <c r="M29" s="20">
        <f>L29*B29</f>
        <v>0.75</v>
      </c>
    </row>
    <row r="30" spans="1:13" x14ac:dyDescent="0.2">
      <c r="A30" s="18">
        <f>ROW(B29) - ROW($B$12)</f>
        <v>17</v>
      </c>
      <c r="B30" s="33">
        <v>2</v>
      </c>
      <c r="C30" s="33"/>
      <c r="D30" s="26" t="s">
        <v>29</v>
      </c>
      <c r="E30" s="27"/>
      <c r="F30" s="17" t="s">
        <v>50</v>
      </c>
      <c r="G30" s="18" t="s">
        <v>72</v>
      </c>
      <c r="H30" s="18" t="s">
        <v>85</v>
      </c>
      <c r="I30" s="18">
        <v>5000</v>
      </c>
      <c r="J30" s="18" t="s">
        <v>101</v>
      </c>
      <c r="K30" s="18" t="s">
        <v>110</v>
      </c>
      <c r="L30" s="20">
        <v>0.39</v>
      </c>
      <c r="M30" s="20">
        <f>L30*B30</f>
        <v>0.78</v>
      </c>
    </row>
    <row r="31" spans="1:13" x14ac:dyDescent="0.2">
      <c r="A31" s="18">
        <f>ROW(B30) - ROW($B$12)</f>
        <v>18</v>
      </c>
      <c r="B31" s="32">
        <v>2</v>
      </c>
      <c r="C31" s="32"/>
      <c r="D31" s="26" t="s">
        <v>30</v>
      </c>
      <c r="E31" s="27"/>
      <c r="F31" s="17" t="s">
        <v>51</v>
      </c>
      <c r="G31" s="18" t="s">
        <v>73</v>
      </c>
      <c r="H31" s="18" t="s">
        <v>85</v>
      </c>
      <c r="I31" s="18">
        <v>5001</v>
      </c>
      <c r="J31" s="18" t="s">
        <v>100</v>
      </c>
      <c r="K31" s="18" t="s">
        <v>111</v>
      </c>
      <c r="L31" s="20">
        <v>0.39</v>
      </c>
      <c r="M31" s="20">
        <f>L31*B31</f>
        <v>0.78</v>
      </c>
    </row>
    <row r="32" spans="1:13" ht="22.5" x14ac:dyDescent="0.2">
      <c r="A32" s="18">
        <f>ROW(B31) - ROW($B$12)</f>
        <v>19</v>
      </c>
      <c r="B32" s="33">
        <v>4</v>
      </c>
      <c r="C32" s="33"/>
      <c r="D32" s="26" t="s">
        <v>31</v>
      </c>
      <c r="E32" s="27"/>
      <c r="F32" s="17" t="s">
        <v>52</v>
      </c>
      <c r="G32" s="18" t="s">
        <v>74</v>
      </c>
      <c r="H32" s="18"/>
      <c r="I32" s="18"/>
      <c r="J32" s="18"/>
      <c r="K32" s="18"/>
      <c r="L32" s="20"/>
      <c r="M32" s="20">
        <f>L32*B32</f>
        <v>0</v>
      </c>
    </row>
    <row r="33" spans="1:13" x14ac:dyDescent="0.2">
      <c r="A33" s="18">
        <f>ROW(B32) - ROW($B$12)</f>
        <v>20</v>
      </c>
      <c r="B33" s="32">
        <v>1</v>
      </c>
      <c r="C33" s="32"/>
      <c r="D33" s="26" t="s">
        <v>32</v>
      </c>
      <c r="E33" s="27"/>
      <c r="F33" s="17" t="s">
        <v>53</v>
      </c>
      <c r="G33" s="18" t="s">
        <v>75</v>
      </c>
      <c r="H33" s="18"/>
      <c r="I33" s="18"/>
      <c r="J33" s="18"/>
      <c r="K33" s="18"/>
      <c r="L33" s="20"/>
      <c r="M33" s="20">
        <f>L33*B33</f>
        <v>0</v>
      </c>
    </row>
    <row r="34" spans="1:13" ht="22.5" x14ac:dyDescent="0.2">
      <c r="A34" s="18">
        <f>ROW(B33) - ROW($B$12)</f>
        <v>21</v>
      </c>
      <c r="B34" s="33">
        <v>1</v>
      </c>
      <c r="C34" s="33"/>
      <c r="D34" s="26" t="s">
        <v>33</v>
      </c>
      <c r="E34" s="27"/>
      <c r="F34" s="17" t="s">
        <v>54</v>
      </c>
      <c r="G34" s="18" t="s">
        <v>76</v>
      </c>
      <c r="H34" s="18" t="s">
        <v>86</v>
      </c>
      <c r="I34" s="18" t="s">
        <v>98</v>
      </c>
      <c r="J34" s="18" t="s">
        <v>101</v>
      </c>
      <c r="K34" s="18" t="s">
        <v>112</v>
      </c>
      <c r="L34" s="20">
        <v>0.7</v>
      </c>
      <c r="M34" s="20">
        <f>L34*B34</f>
        <v>0.7</v>
      </c>
    </row>
    <row r="35" spans="1:13" x14ac:dyDescent="0.2">
      <c r="L35" s="21"/>
      <c r="M35" s="21"/>
    </row>
    <row r="36" spans="1:13" ht="15" thickBot="1" x14ac:dyDescent="0.25">
      <c r="K36" s="19" t="s">
        <v>5</v>
      </c>
      <c r="L36" s="22"/>
      <c r="M36" s="22">
        <f>SUM(M14:M35)</f>
        <v>18.420700000000004</v>
      </c>
    </row>
    <row r="37" spans="1:13" ht="15" thickTop="1" x14ac:dyDescent="0.2"/>
  </sheetData>
  <mergeCells count="56">
    <mergeCell ref="B34:C34"/>
    <mergeCell ref="D34:E34"/>
    <mergeCell ref="B31:C31"/>
    <mergeCell ref="D31:E31"/>
    <mergeCell ref="B32:C32"/>
    <mergeCell ref="D32:E32"/>
    <mergeCell ref="B33:C33"/>
    <mergeCell ref="D33:E33"/>
    <mergeCell ref="B28:C28"/>
    <mergeCell ref="D28:E28"/>
    <mergeCell ref="B29:C29"/>
    <mergeCell ref="D29:E29"/>
    <mergeCell ref="B30:C30"/>
    <mergeCell ref="D30:E30"/>
    <mergeCell ref="B25:C25"/>
    <mergeCell ref="D25:E25"/>
    <mergeCell ref="B26:C26"/>
    <mergeCell ref="D26:E26"/>
    <mergeCell ref="B27:C27"/>
    <mergeCell ref="D27:E27"/>
    <mergeCell ref="B22:C22"/>
    <mergeCell ref="D22:E22"/>
    <mergeCell ref="B23:C23"/>
    <mergeCell ref="D23:E23"/>
    <mergeCell ref="B24:C24"/>
    <mergeCell ref="D24:E24"/>
    <mergeCell ref="B19:C19"/>
    <mergeCell ref="D19:E19"/>
    <mergeCell ref="B20:C20"/>
    <mergeCell ref="D20:E20"/>
    <mergeCell ref="B21:C21"/>
    <mergeCell ref="D21:E21"/>
    <mergeCell ref="B16:C16"/>
    <mergeCell ref="D16:E16"/>
    <mergeCell ref="B17:C17"/>
    <mergeCell ref="D17:E17"/>
    <mergeCell ref="B18:C18"/>
    <mergeCell ref="D18:E18"/>
    <mergeCell ref="J8:M8"/>
    <mergeCell ref="J9:M9"/>
    <mergeCell ref="G10:M10"/>
    <mergeCell ref="I3:M3"/>
    <mergeCell ref="J5:M5"/>
    <mergeCell ref="J6:M6"/>
    <mergeCell ref="J7:M7"/>
    <mergeCell ref="F5:F7"/>
    <mergeCell ref="D14:E14"/>
    <mergeCell ref="B3:E3"/>
    <mergeCell ref="B13:C13"/>
    <mergeCell ref="B15:C15"/>
    <mergeCell ref="B14:C14"/>
    <mergeCell ref="B6:C6"/>
    <mergeCell ref="D15:E15"/>
    <mergeCell ref="B12:E12"/>
    <mergeCell ref="B5:C5"/>
    <mergeCell ref="D13:E13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&amp;L&amp;"-,Gras"&amp;16Ecole des Métiers de Fribourg&amp;R&amp;D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56.85546875" customWidth="1"/>
  </cols>
  <sheetData>
    <row r="1" spans="1:4" ht="21" thickBot="1" x14ac:dyDescent="0.3">
      <c r="A1" s="56" t="s">
        <v>114</v>
      </c>
      <c r="B1" s="47"/>
      <c r="C1" s="48"/>
    </row>
    <row r="2" spans="1:4" x14ac:dyDescent="0.25">
      <c r="A2" s="57" t="s">
        <v>115</v>
      </c>
      <c r="B2" s="1"/>
      <c r="C2" s="1"/>
    </row>
    <row r="3" spans="1:4" x14ac:dyDescent="0.25">
      <c r="A3" s="57" t="s">
        <v>116</v>
      </c>
      <c r="B3" s="1"/>
      <c r="C3" s="1"/>
    </row>
    <row r="4" spans="1:4" x14ac:dyDescent="0.25">
      <c r="A4" s="1" t="str">
        <f>CONCATENATE(A2,".",A3)</f>
        <v>1.0.0</v>
      </c>
      <c r="B4" s="1"/>
      <c r="C4" s="1"/>
    </row>
    <row r="5" spans="1:4" x14ac:dyDescent="0.25">
      <c r="A5" s="1" t="str">
        <f>CONCATENATE(A1,"  ",A2,".",A3)</f>
        <v xml:space="preserve">  1.0.0</v>
      </c>
      <c r="B5" s="2"/>
      <c r="C5" s="2"/>
    </row>
    <row r="6" spans="1:4" x14ac:dyDescent="0.25">
      <c r="A6" s="58" t="s">
        <v>117</v>
      </c>
    </row>
    <row r="7" spans="1:4" x14ac:dyDescent="0.25">
      <c r="A7" s="59" t="s">
        <v>7</v>
      </c>
    </row>
    <row r="8" spans="1:4" x14ac:dyDescent="0.25">
      <c r="A8" s="57" t="s">
        <v>114</v>
      </c>
    </row>
    <row r="9" spans="1:4" x14ac:dyDescent="0.25">
      <c r="A9" s="16" t="str">
        <f>LEFT(A6,10)</f>
        <v>jeu_du_mou</v>
      </c>
    </row>
    <row r="12" spans="1:4" ht="15.75" thickBot="1" x14ac:dyDescent="0.3"/>
    <row r="13" spans="1:4" ht="18.75" thickBot="1" x14ac:dyDescent="0.3">
      <c r="A13" s="49" t="e">
        <f>CONCATENATE(Sheet2!A18,"[",Sheet2!#REF!,"]",Sheet2!#REF!)</f>
        <v>#REF!</v>
      </c>
      <c r="B13" s="50"/>
      <c r="C13" s="50"/>
      <c r="D13" s="51"/>
    </row>
    <row r="14" spans="1:4" x14ac:dyDescent="0.25">
      <c r="A14" s="4"/>
    </row>
  </sheetData>
  <mergeCells count="2">
    <mergeCell ref="A1:C1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AFC7C83C7C054E95F4B42F91168742" ma:contentTypeVersion="13" ma:contentTypeDescription="Crée un document." ma:contentTypeScope="" ma:versionID="66e3d8284d9fc5410f6939df54f0caa6">
  <xsd:schema xmlns:xsd="http://www.w3.org/2001/XMLSchema" xmlns:xs="http://www.w3.org/2001/XMLSchema" xmlns:p="http://schemas.microsoft.com/office/2006/metadata/properties" xmlns:ns2="c73ba516-6d34-4b92-a096-ac7dfb020022" xmlns:ns3="ebd706b7-678b-40df-972d-f0eaa6262b36" targetNamespace="http://schemas.microsoft.com/office/2006/metadata/properties" ma:root="true" ma:fieldsID="ea909251fc86ece970dc0ed8cbb70340" ns2:_="" ns3:_="">
    <xsd:import namespace="c73ba516-6d34-4b92-a096-ac7dfb020022"/>
    <xsd:import namespace="ebd706b7-678b-40df-972d-f0eaa6262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ba516-6d34-4b92-a096-ac7dfb020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706b7-678b-40df-972d-f0eaa6262b3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9c490c-a0a8-4b48-9298-38de0a7c30f0}" ma:internalName="TaxCatchAll" ma:showField="CatchAllData" ma:web="ebd706b7-678b-40df-972d-f0eaa6262b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64E99E-77F3-4A44-9FA2-482228DEF9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F1807D-2C11-4442-B446-3E1610E4AA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3ba516-6d34-4b92-a096-ac7dfb020022"/>
    <ds:schemaRef ds:uri="ebd706b7-678b-40df-972d-f0eaa6262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Sheet1!Impression_des_titres</vt:lpstr>
      <vt:lpstr>Sheet1!Zone_d_impression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Egli Samuel</dc:creator>
  <cp:lastModifiedBy>Bourquenoud Alexandre</cp:lastModifiedBy>
  <cp:lastPrinted>2018-01-08T13:35:44Z</cp:lastPrinted>
  <dcterms:created xsi:type="dcterms:W3CDTF">2017-07-03T09:12:15Z</dcterms:created>
  <dcterms:modified xsi:type="dcterms:W3CDTF">2025-05-19T08:42:55Z</dcterms:modified>
</cp:coreProperties>
</file>