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https://eduetatfr-my.sharepoint.com/personal/alexandre_bourquenoud_studentfr_ch/Documents/PHIE/jeu_du_moulin_alexandre_bourquenoud/jeu_du_moulin_2025_boura/jeu_du_moulin_boura/rpt/"/>
    </mc:Choice>
  </mc:AlternateContent>
  <xr:revisionPtr revIDLastSave="43" documentId="13_ncr:1_{A869703D-C38E-420F-8D0F-C459E030BBC3}" xr6:coauthVersionLast="47" xr6:coauthVersionMax="47" xr10:uidLastSave="{87109C23-FCF1-4988-9087-33BF30532F9A}"/>
  <bookViews>
    <workbookView xWindow="-28920" yWindow="-120" windowWidth="29040" windowHeight="15840" activeTab="3" xr2:uid="{00000000-000D-0000-FFFF-FFFF00000000}"/>
  </bookViews>
  <sheets>
    <sheet name="s1" sheetId="8" r:id="rId1"/>
    <sheet name="s2" sheetId="1" r:id="rId2"/>
    <sheet name="s3" sheetId="9" r:id="rId3"/>
    <sheet name="s4" sheetId="10" r:id="rId4"/>
    <sheet name="s5" sheetId="11" r:id="rId5"/>
    <sheet name="s6" sheetId="12" r:id="rId6"/>
    <sheet name="s7" sheetId="13" r:id="rId7"/>
    <sheet name="total" sheetId="2"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0" i="8" l="1"/>
  <c r="G32" i="13"/>
  <c r="F31" i="13"/>
  <c r="F26" i="13"/>
  <c r="F21" i="13"/>
  <c r="F16" i="13"/>
  <c r="F11" i="13"/>
  <c r="F31" i="12"/>
  <c r="F26" i="12"/>
  <c r="F21" i="12"/>
  <c r="F16" i="12"/>
  <c r="F11" i="12"/>
  <c r="G32" i="12" s="1"/>
  <c r="G32" i="11"/>
  <c r="F31" i="11"/>
  <c r="F26" i="11"/>
  <c r="F21" i="11"/>
  <c r="F16" i="11"/>
  <c r="F11" i="11"/>
  <c r="F34" i="10"/>
  <c r="F29" i="10"/>
  <c r="F24" i="10"/>
  <c r="F19" i="10"/>
  <c r="F11" i="10"/>
  <c r="F35" i="9"/>
  <c r="F23" i="9"/>
  <c r="F18" i="9"/>
  <c r="F11" i="9"/>
  <c r="F39" i="1"/>
  <c r="F31" i="1"/>
  <c r="F23" i="1"/>
  <c r="F17" i="1"/>
  <c r="F11" i="1"/>
  <c r="F41" i="8"/>
  <c r="F35" i="8"/>
  <c r="F28" i="8"/>
  <c r="F12" i="8"/>
  <c r="G35" i="10" l="1"/>
  <c r="G36" i="9"/>
  <c r="G40" i="1"/>
  <c r="G42" i="8"/>
</calcChain>
</file>

<file path=xl/sharedStrings.xml><?xml version="1.0" encoding="utf-8"?>
<sst xmlns="http://schemas.openxmlformats.org/spreadsheetml/2006/main" count="424" uniqueCount="110">
  <si>
    <t>Date</t>
  </si>
  <si>
    <t>Projet</t>
  </si>
  <si>
    <t>Temps</t>
  </si>
  <si>
    <t>[H.h]</t>
  </si>
  <si>
    <t>Report</t>
  </si>
  <si>
    <t>mardi</t>
  </si>
  <si>
    <t>lundi</t>
  </si>
  <si>
    <t>mercredi</t>
  </si>
  <si>
    <t>jeudi</t>
  </si>
  <si>
    <t>vendredi</t>
  </si>
  <si>
    <t xml:space="preserve">Auto-évaluation personnelle hebdomadaire ↓↓↓ </t>
  </si>
  <si>
    <t xml:space="preserve">Total du jour &gt; </t>
  </si>
  <si>
    <t xml:space="preserve">Total de la semaine &gt; </t>
  </si>
  <si>
    <t>EMF-Industrie</t>
  </si>
  <si>
    <t>Electronicien CFC</t>
  </si>
  <si>
    <t xml:space="preserve"> </t>
  </si>
  <si>
    <t>Journal de travail</t>
  </si>
  <si>
    <t>Thème</t>
  </si>
  <si>
    <t>Action réalisée</t>
  </si>
  <si>
    <r>
      <t xml:space="preserve">Problème rencontré -&gt; </t>
    </r>
    <r>
      <rPr>
        <sz val="8"/>
        <color rgb="FFFF0000"/>
        <rFont val="Courier New"/>
        <family val="3"/>
      </rPr>
      <t>Décision</t>
    </r>
  </si>
  <si>
    <t>Bourquenoud Alexandre</t>
  </si>
  <si>
    <t>2024.30.09</t>
  </si>
  <si>
    <t>jeu-du-moulin-bourquenouda</t>
  </si>
  <si>
    <t>Setup</t>
  </si>
  <si>
    <t>mise en place de l'environnement de travail du projet</t>
  </si>
  <si>
    <t>quelques problème avec l'implémentation de l'utilisation de Github à cause d'une erreur de setup que j'ai fait avec les repositories -&gt; j'ai résolue le problème en créant correctement les repositories</t>
  </si>
  <si>
    <t>PCB</t>
  </si>
  <si>
    <t>Sauvegarde des fichiers qui m'on été fourni en avance sur le projet Github</t>
  </si>
  <si>
    <t>FWR</t>
  </si>
  <si>
    <t>Discussion avec Monsieur Eglis au sujet du proogramme Cube pour la programmation sur STM32 et installation de celui-ci</t>
  </si>
  <si>
    <t>SCH</t>
  </si>
  <si>
    <t>rédaction de la documentation avec des informations lié au projet.</t>
  </si>
  <si>
    <t>Rédaction du journal de travail</t>
  </si>
  <si>
    <t>Avancement du schéma -&gt; changement d'IC, ajout  des LEDs manquantes, création des symboles manquants, schématisation des condensateurs de découplage et des matrices de LEDs et de touches capacitives</t>
  </si>
  <si>
    <t>Avancement du schéma -&gt; changement de l'utilisation des pins du uC avec l'utilisation de STM32CubeIDE pour savoir lesquelles sont utiles</t>
  </si>
  <si>
    <t>Conversation avec M.Eglis sur l'utilisation du logiciel de programmation STM32CubeIDE pour me montrer son fonctionnement</t>
  </si>
  <si>
    <t>Correction de la BOM avec les composants nécessaires</t>
  </si>
  <si>
    <t>dimensionnement des composants pour le régulateur de tension 3.3V</t>
  </si>
  <si>
    <t>création de certaines empreintes manquantes</t>
  </si>
  <si>
    <t>documentation des procédés et actions réalisé au long de la journée</t>
  </si>
  <si>
    <t>J'ai pris un bon moment pour faire le symbole de l'uC car je n'ai pas trouvé celui que j'utilise en ligne</t>
  </si>
  <si>
    <t>Dicsussion avec M. Berset pour l'implementation d'un calcul de la capacité des touches</t>
  </si>
  <si>
    <t>dimensionnement des composants pour le régulateur de tension 3.3V et calcul de consommation du circuit pour choisir le regulateur.</t>
  </si>
  <si>
    <t>documentation avec les nouvelles informations acquéris et documentation des tâches entreprise aujourd'hui -&gt; dimensionnement, changement dans le schéma et BOM</t>
  </si>
  <si>
    <t>Creation et assignement des empreintes au symbols manquant. J'ai aussi fini tous les changement nécessaire au schéma</t>
  </si>
  <si>
    <t>RPT</t>
  </si>
  <si>
    <t>corrections final sur le schéma avant l'envoie au superviseur.</t>
  </si>
  <si>
    <r>
      <t xml:space="preserve">J'ai oublié comment on changais l'énumeration des feuilles du schéma donc j'ai demandé de l'aide à M. Pittet Loïc -&gt; </t>
    </r>
    <r>
      <rPr>
        <sz val="8"/>
        <color rgb="FFFF0000"/>
        <rFont val="Courier New"/>
        <family val="3"/>
      </rPr>
      <t>C'est sous Annotation-Number Schematic Sheet</t>
    </r>
  </si>
  <si>
    <t>début de la créeation du layout -&gt; importer les changements du schéma</t>
  </si>
  <si>
    <t>Redimensionnement de la matrice de LED</t>
  </si>
  <si>
    <r>
      <t xml:space="preserve">Le calcul utilisé pour la consomation de courant des LED est fausse -&gt; </t>
    </r>
    <r>
      <rPr>
        <sz val="8"/>
        <color rgb="FFFF0000"/>
        <rFont val="Courier New"/>
        <family val="3"/>
      </rPr>
      <t>Recalcul</t>
    </r>
  </si>
  <si>
    <t>changement d'arrangement de la matrice de LED. La première configuration ne laissais pas la possibilité d'allumer les 2 LEDs du même composant a la fois. J'ai pris comme exemple mon ancien projet pour restructurer la matrice.</t>
  </si>
  <si>
    <t>Layout des Touches sur le PCB. j'ai d'abord garder les mêmes dimension que pour le premier prototype de M. Egli mais je changerai la taille comme celle dans le cahier des charges si nécessaire.</t>
  </si>
  <si>
    <t>remplissage du journal du travail</t>
  </si>
  <si>
    <r>
      <t xml:space="preserve">Après une plus longue réflexion, j'ai remarquer que ce n'était pas nécessaire d'allumer 2 LEDs en même temps -&gt; </t>
    </r>
    <r>
      <rPr>
        <sz val="8"/>
        <color rgb="FFFF0000"/>
        <rFont val="Courier New"/>
        <family val="3"/>
      </rPr>
      <t>Perte de temps relativement élevée</t>
    </r>
  </si>
  <si>
    <t>Je n'ai pas fait de documentation aujourd'hui donc demain je vais essayer de passer plus de temps sur la rédaction du rapport</t>
  </si>
  <si>
    <t>Placement des autres composant sur la plaque et routage de certaines parties. J'ai notamment réussi a router toutes les toouches et toutes la partie alimentation.</t>
  </si>
  <si>
    <t>Rédaction de la documentationt -&gt; ajout des résonnement au changment effectué sur le schéma</t>
  </si>
  <si>
    <t>Routage et placement des composant et parties manquantes</t>
  </si>
  <si>
    <t>J'ai réalisé relativement tard qu'il y avait 2 plans de masse et non 1 plan de masse et 1 plan de VCC qui est la configuration que j'ai utilisé</t>
  </si>
  <si>
    <r>
      <t xml:space="preserve">model de uC choisi non disponible à cause d'un manque de stocks -&gt; </t>
    </r>
    <r>
      <rPr>
        <sz val="8"/>
        <color rgb="FFFF0000"/>
        <rFont val="Courier New"/>
        <family val="3"/>
      </rPr>
      <t>check de compatibilité avec les modèles disponibles cherche chez d'autres fournisseurs</t>
    </r>
  </si>
  <si>
    <t>remplissage de la BOM et control des composants manquants. Un composant n'était pas disponible alors j'ai du changer de model. À la place du STM32L072</t>
  </si>
  <si>
    <t xml:space="preserve"> Pour cette première semaine, je pense avoir bien travailler avec  un nombre minime de problèmes rencontré même si je devrais prendre plus de temps a rédiger la documentation mais je peux quand même dire que j'ai un peu d'avance dans le routage malgré une petite confusion qui n'est pas encore résolue. Les changements engendré par cette confusion ne seront pas trop élevé je pense donc même si le routage doit être changé, ça ne prendra pas trop de temps.</t>
  </si>
  <si>
    <t>rédaction du journal de travail.</t>
  </si>
  <si>
    <t>fin de création de la BOM complète et commande des composants qui ne sont pas disponible à l'atelier</t>
  </si>
  <si>
    <t>Changement  "fondamental" du circuit. En effet, a cause d'un problème de compréhension, j'avais utiliser un plan de masse et un plan de VCC alors qu'il fallait plan de masse. Je dois donc changer le routage pour remédier a ce problème</t>
  </si>
  <si>
    <t>rédaction de la documentation -&gt; ajout des commentaire au sujet du placement des composants</t>
  </si>
  <si>
    <r>
      <t xml:space="preserve">Je n'ai pas pu ajouté le silkscreen au sommet des touches -&gt; </t>
    </r>
    <r>
      <rPr>
        <sz val="8"/>
        <color rgb="FFFF0000"/>
        <rFont val="Courier New"/>
        <family val="3"/>
      </rPr>
      <t>Je demanderai a M. Egli car il a des meilleur connaissances sur altium.</t>
    </r>
  </si>
  <si>
    <t>j'ai pu ajouter le soldermask au sommet des touches comme voulu grâce à l'aide de M. Egli. En effet, mon erreur était que je n'updatais pas correctement les empreinte.</t>
  </si>
  <si>
    <t>Discussion avec M.Egli au sujet du fonctionnement des touches capacitives et du risque que la matrice LED peut porter à la détection</t>
  </si>
  <si>
    <t xml:space="preserve">rédaction de la doc </t>
  </si>
  <si>
    <t>Changement du routage pour essaie de ne pas interférer avec le touches. J'avais déjà essayer de faire ça avant mais après une courte discussion avec M.Egli, je suis entrain de refaire le routage de tous les signaux de contrôle des LED pour qu'il ne passe pas en dessous des touches. J'ai aussi changé le symbole du MCU pour inclure le pad 49 qui est recommendé d'être braser au GND par le datasheet page 144</t>
  </si>
  <si>
    <t>rédaction de la documentation -&gt; ajout de simulation pour expliquer le RPP, explication des changements par rapport au schéma de M.Egli</t>
  </si>
  <si>
    <t>création des Gerber et vérification sur eurocircuit de la classe et validité du circuit.</t>
  </si>
  <si>
    <t>finission des dernier détails du pcb par example amélioration du routage des pistes et création des Gerber et vérification sur eurocircuit de la classe et validité du circuit.</t>
  </si>
  <si>
    <t xml:space="preserve">Revue du programme crée par M.Egli et du mon ancien code pour matrice de LEDs pour voir si c'est possible de l'implementer sur le STM32 </t>
  </si>
  <si>
    <t xml:space="preserve">Mise au point de la progression du projet avec M.Cunha et  ensuite </t>
  </si>
  <si>
    <t>Problème de connexion qui m'empèche de debugger sur la plaque fourni par M.Egli</t>
  </si>
  <si>
    <t>programmation des touches et LED pour que ce soir conforme a ce qu'on me demande dans le cahier des charges</t>
  </si>
  <si>
    <t>essaie debugger le programme de test de M.Egli pour comprendre le fonctionnement de STM32CubeIDE</t>
  </si>
  <si>
    <t>Visite des experts et discussion au sujet de l'état actuel du projet et de si il est possible à terminer dans les temps</t>
  </si>
  <si>
    <t>création du code de contrôle des LEDs</t>
  </si>
  <si>
    <r>
      <t xml:space="preserve">Je viens de remarquer un problème fondamental qui rend le contrôle des LEDs de manière individuel… et oui, en effet le fait que les LEDs soit inversé fait que quoi qu'il se passe soit une ligne soit une colonne sera allumé -&gt; </t>
    </r>
    <r>
      <rPr>
        <sz val="8"/>
        <color rgb="FFFF0000"/>
        <rFont val="Courier New"/>
        <family val="3"/>
      </rPr>
      <t>trouver une LED bicolore avec les 2 LEDs pointant dans le même sens</t>
    </r>
  </si>
  <si>
    <t>Ce n'est pas exactement un problème car on peut changer les mode des I/O pour empêcher les LEDs de s'allumer quand il ne faut pas</t>
  </si>
  <si>
    <t>Rédaction de la doc avec comme sujet la programmation et certaines impasses que j'ai rencontré et surmonté</t>
  </si>
  <si>
    <t>J'ai eu un problème(j'ai oulié de générer le stencil pour la face bottom) sur ma commande de PCB donc M.Egli est venu pour faire une commande de stencil correcte.</t>
  </si>
  <si>
    <t xml:space="preserve">création du code de contrôle des LEDs -&gt; on peu desormais contrôler toutes les </t>
  </si>
  <si>
    <t>J'éstime avoir bien avancer aussi cette semaine, mais j'aurais voulu pouvoir commander le PCB un peu plus rapidement que comme prévu sur le planning. Pour la partie programmation, j'ai eu deux petites accroche que j'ai pu surmonter, et j'ai maintenant les bases nécessaires pour bien continuer la programmation. J'éspère que la semaine prochaine se déroulera tout aussi bien</t>
  </si>
  <si>
    <t>Férié</t>
  </si>
  <si>
    <r>
      <t xml:space="preserve">deux LEDs sur le prototype ne fonctionnait pas et montrait une chute de tension bien trop élevé pour le LED -&gt; </t>
    </r>
    <r>
      <rPr>
        <sz val="8"/>
        <color rgb="FFFF0000"/>
        <rFont val="Courier New"/>
        <family val="3"/>
      </rPr>
      <t>Je les ai enlevé pour verifier si elle fonctionnaient encore et les changer au cas ou</t>
    </r>
  </si>
  <si>
    <t>programmation sur STM32 pour allumer individuellement les LEDs. J'ai reussi a toutes les allumé sauf 2. Il faut maintenant que j'en allume plusieurs a la fois pour voir si il y a des interférence avec les touches</t>
  </si>
  <si>
    <t>aide Mr.Pugin a réparer un bug</t>
  </si>
  <si>
    <t>on a réussi cette fois</t>
  </si>
  <si>
    <t>J'ai avancer la programmation et j'arrive maintenant a les allumer individuellement. Il ne semblerait pas y avoir d'interférence avec les touches car je peux les allumer sans trop de latence (&lt;0.4s) mais quand il y aura 18 LEDs allumer on pourra voir le clignotement,</t>
  </si>
  <si>
    <t>rédaction de la documentation</t>
  </si>
  <si>
    <t>Le programme pour changer allumer les LEDs est presque terminé.</t>
  </si>
  <si>
    <t>aide Mr.Pugin a réparer un bug avec son projet</t>
  </si>
  <si>
    <t>FRW</t>
  </si>
  <si>
    <t xml:space="preserve">J'ai continué d'avancer la programmation sur le prototype de M.Egli et le code fonctionne désormais comme demandé sur le cahier des charges donc j'ai pris du temps pour l'adapter au STM32 utiliser sur mon prototype. </t>
  </si>
  <si>
    <t>Plus il y a de LEDs allumer plus on voit le clignotement dû à la matrice et je ne peux pas contrôler le nombre maximum en jeux (18) sur le prototype, donc je ne peux pas encore mesurer les fréquences d'allumage des LEDs maximum. Je dois donc attendre mon prototype pour que je puisse faire les tests</t>
  </si>
  <si>
    <t>Rédaction de la protocole de mise en service.</t>
  </si>
  <si>
    <t>Montage et début de la mise en service du PCB</t>
  </si>
  <si>
    <t>changements dans le programme pour convenir à l'IC utilisé sur mon proto</t>
  </si>
  <si>
    <t>Cette semaine c'est aussi bien passé malgré le fait que j'ai commencé le montage plus tard que prévu à cause du jours férié…</t>
  </si>
  <si>
    <t>Correction d'un mauvaise connexion de la résistance R26 et ajout de fils pour mesures les tensions des condensateurs de sampling</t>
  </si>
  <si>
    <t>mesure de la détection sur le proto de M.Egli pour comparer avec le mien</t>
  </si>
  <si>
    <r>
      <t xml:space="preserve">Je ne peux pas mesurer de détection sur les touches -&gt; </t>
    </r>
    <r>
      <rPr>
        <sz val="8"/>
        <color rgb="FFFF0000"/>
        <rFont val="Courier New"/>
        <family val="3"/>
      </rPr>
      <t>vérification de la configuration des touches capacitives sur STM32CubeIDE</t>
    </r>
  </si>
  <si>
    <t>rédaction du journal de travail</t>
  </si>
  <si>
    <t>retard</t>
  </si>
  <si>
    <t>Tests pour trouver ce qui crée le problème de détection avec M.Egli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</si>
</sst>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sz val="10"/>
      <color theme="1"/>
      <name val="Courier New"/>
      <family val="3"/>
    </font>
    <font>
      <b/>
      <sz val="10"/>
      <color theme="1"/>
      <name val="Courier New"/>
      <family val="3"/>
    </font>
    <font>
      <sz val="8"/>
      <color theme="1"/>
      <name val="Courier New"/>
      <family val="3"/>
    </font>
    <font>
      <sz val="8"/>
      <name val="Courier New"/>
      <family val="3"/>
    </font>
    <font>
      <sz val="8"/>
      <color rgb="FFFF0000"/>
      <name val="Courier New"/>
      <family val="3"/>
    </font>
  </fonts>
  <fills count="3">
    <fill>
      <patternFill patternType="none"/>
    </fill>
    <fill>
      <patternFill patternType="gray125"/>
    </fill>
    <fill>
      <patternFill patternType="solid">
        <fgColor theme="0" tint="-0.149998474074526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style="thin">
        <color indexed="64"/>
      </bottom>
      <diagonal/>
    </border>
  </borders>
  <cellStyleXfs count="1">
    <xf numFmtId="0" fontId="0" fillId="0" borderId="0"/>
  </cellStyleXfs>
  <cellXfs count="52">
    <xf numFmtId="0" fontId="0" fillId="0" borderId="0" xfId="0"/>
    <xf numFmtId="0" fontId="1" fillId="0" borderId="0" xfId="0" applyFont="1"/>
    <xf numFmtId="0" fontId="2" fillId="0" borderId="0" xfId="0" applyFont="1"/>
    <xf numFmtId="0" fontId="2" fillId="0" borderId="0" xfId="0" applyFont="1" applyAlignment="1">
      <alignment horizontal="right" vertical="top"/>
    </xf>
    <xf numFmtId="0" fontId="3" fillId="0" borderId="1" xfId="0" applyFont="1" applyBorder="1" applyAlignment="1">
      <alignment horizontal="left" vertical="top" wrapText="1"/>
    </xf>
    <xf numFmtId="0" fontId="3" fillId="0" borderId="3" xfId="0" applyFont="1" applyBorder="1" applyAlignment="1">
      <alignment horizontal="left" vertical="top" wrapText="1"/>
    </xf>
    <xf numFmtId="164" fontId="4" fillId="0" borderId="1" xfId="0" applyNumberFormat="1" applyFont="1" applyBorder="1" applyProtection="1">
      <protection locked="0"/>
    </xf>
    <xf numFmtId="0" fontId="2" fillId="0" borderId="0" xfId="0" applyFont="1" applyAlignment="1">
      <alignment horizontal="left"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0" borderId="0" xfId="0" applyFont="1"/>
    <xf numFmtId="0" fontId="3" fillId="2" borderId="6" xfId="0" applyFont="1" applyFill="1" applyBorder="1" applyAlignment="1">
      <alignment horizontal="center" vertical="center"/>
    </xf>
    <xf numFmtId="0" fontId="3" fillId="2" borderId="3" xfId="0" applyFont="1" applyFill="1" applyBorder="1" applyAlignment="1">
      <alignment horizontal="center" vertical="center"/>
    </xf>
    <xf numFmtId="164" fontId="4" fillId="0" borderId="3" xfId="0" applyNumberFormat="1" applyFont="1" applyBorder="1" applyProtection="1">
      <protection locked="0"/>
    </xf>
    <xf numFmtId="0" fontId="3" fillId="2" borderId="8" xfId="0" applyFont="1" applyFill="1" applyBorder="1"/>
    <xf numFmtId="0" fontId="3" fillId="0" borderId="3" xfId="0" applyFont="1" applyBorder="1" applyAlignment="1">
      <alignment horizontal="left"/>
    </xf>
    <xf numFmtId="0" fontId="3" fillId="2" borderId="1" xfId="0" applyFont="1" applyFill="1" applyBorder="1"/>
    <xf numFmtId="0" fontId="3" fillId="2" borderId="1" xfId="0" applyFont="1" applyFill="1" applyBorder="1" applyAlignment="1">
      <alignment horizontal="right" vertical="center"/>
    </xf>
    <xf numFmtId="164" fontId="4" fillId="2" borderId="1" xfId="0" applyNumberFormat="1" applyFont="1" applyFill="1" applyBorder="1" applyAlignment="1" applyProtection="1">
      <alignment horizontal="right" vertical="center"/>
      <protection locked="0"/>
    </xf>
    <xf numFmtId="0" fontId="3" fillId="2" borderId="7" xfId="0" applyFont="1" applyFill="1" applyBorder="1" applyProtection="1">
      <protection locked="0"/>
    </xf>
    <xf numFmtId="0" fontId="3" fillId="2" borderId="7" xfId="0" applyFont="1" applyFill="1" applyBorder="1" applyAlignment="1" applyProtection="1">
      <alignment horizontal="right" vertical="center"/>
      <protection locked="0"/>
    </xf>
    <xf numFmtId="164" fontId="4" fillId="2" borderId="7" xfId="0" applyNumberFormat="1" applyFont="1" applyFill="1" applyBorder="1" applyAlignment="1" applyProtection="1">
      <alignment horizontal="right" vertical="center"/>
      <protection locked="0"/>
    </xf>
    <xf numFmtId="164" fontId="4" fillId="2" borderId="3" xfId="0" applyNumberFormat="1" applyFont="1" applyFill="1" applyBorder="1" applyAlignment="1" applyProtection="1">
      <alignment horizontal="right" vertical="center"/>
      <protection locked="0"/>
    </xf>
    <xf numFmtId="0" fontId="3" fillId="0" borderId="0" xfId="0" applyFont="1" applyAlignment="1">
      <alignment horizontal="center" vertical="center"/>
    </xf>
    <xf numFmtId="0" fontId="3" fillId="0" borderId="0" xfId="0" applyFont="1" applyAlignment="1">
      <alignment horizontal="left"/>
    </xf>
    <xf numFmtId="0" fontId="3" fillId="0" borderId="0" xfId="0" applyFont="1" applyAlignment="1">
      <alignment horizontal="left" vertical="top" wrapText="1"/>
    </xf>
    <xf numFmtId="164" fontId="4" fillId="0" borderId="0" xfId="0" applyNumberFormat="1" applyFont="1" applyProtection="1">
      <protection locked="0"/>
    </xf>
    <xf numFmtId="0" fontId="3" fillId="0" borderId="0" xfId="0" applyFont="1" applyAlignment="1">
      <alignment horizontal="right" vertical="center"/>
    </xf>
    <xf numFmtId="164" fontId="4" fillId="0" borderId="0" xfId="0" applyNumberFormat="1" applyFont="1" applyAlignment="1" applyProtection="1">
      <alignment horizontal="right" vertical="center"/>
      <protection locked="0"/>
    </xf>
    <xf numFmtId="0" fontId="3" fillId="0" borderId="0" xfId="0" applyFont="1" applyProtection="1">
      <protection locked="0"/>
    </xf>
    <xf numFmtId="0" fontId="3" fillId="0" borderId="0" xfId="0" applyFont="1" applyAlignment="1" applyProtection="1">
      <alignment horizontal="right" vertical="center"/>
      <protection locked="0"/>
    </xf>
    <xf numFmtId="14" fontId="3" fillId="0" borderId="3" xfId="0" applyNumberFormat="1" applyFont="1" applyBorder="1" applyAlignment="1">
      <alignment horizontal="left"/>
    </xf>
    <xf numFmtId="14" fontId="3" fillId="0" borderId="0" xfId="0" applyNumberFormat="1" applyFont="1"/>
    <xf numFmtId="0" fontId="3" fillId="0" borderId="1" xfId="0" applyFont="1" applyBorder="1" applyAlignment="1">
      <alignment horizontal="left" vertical="top"/>
    </xf>
    <xf numFmtId="0" fontId="3" fillId="2" borderId="1" xfId="0" applyFont="1" applyFill="1" applyBorder="1" applyAlignment="1">
      <alignment wrapText="1"/>
    </xf>
    <xf numFmtId="0" fontId="3" fillId="2" borderId="1" xfId="0" applyFont="1" applyFill="1" applyBorder="1" applyAlignment="1">
      <alignment horizontal="right" vertical="center" wrapText="1"/>
    </xf>
    <xf numFmtId="0" fontId="3" fillId="0" borderId="0" xfId="0" applyFont="1" applyAlignment="1">
      <alignment horizontal="left"/>
    </xf>
    <xf numFmtId="0" fontId="3" fillId="0" borderId="0" xfId="0" applyFont="1" applyAlignment="1">
      <alignment vertical="center"/>
    </xf>
    <xf numFmtId="0" fontId="3" fillId="0" borderId="0" xfId="0" applyFont="1" applyAlignment="1">
      <alignment horizontal="left" vertical="top" wrapText="1"/>
    </xf>
    <xf numFmtId="0" fontId="3" fillId="0" borderId="0" xfId="0" applyFont="1" applyAlignment="1">
      <alignment horizontal="left" vertical="center"/>
    </xf>
    <xf numFmtId="0" fontId="3" fillId="0" borderId="4" xfId="0" applyFont="1" applyBorder="1" applyAlignment="1">
      <alignment horizontal="left" vertical="top" wrapText="1"/>
    </xf>
    <xf numFmtId="0" fontId="3" fillId="0" borderId="9" xfId="0" applyFont="1" applyBorder="1" applyAlignment="1">
      <alignment horizontal="left" vertical="top" wrapText="1"/>
    </xf>
    <xf numFmtId="0" fontId="3" fillId="0" borderId="2" xfId="0" applyFont="1" applyBorder="1" applyAlignment="1">
      <alignment horizontal="left" vertical="top" wrapText="1"/>
    </xf>
    <xf numFmtId="0" fontId="3" fillId="2" borderId="1" xfId="0" applyFont="1" applyFill="1" applyBorder="1" applyAlignment="1">
      <alignment vertical="center"/>
    </xf>
    <xf numFmtId="0" fontId="3" fillId="2" borderId="1" xfId="0" applyFont="1" applyFill="1" applyBorder="1" applyAlignment="1">
      <alignment horizontal="left" vertical="center"/>
    </xf>
    <xf numFmtId="0" fontId="3" fillId="2" borderId="4" xfId="0" applyFont="1" applyFill="1" applyBorder="1" applyAlignment="1">
      <alignment vertical="center"/>
    </xf>
    <xf numFmtId="0" fontId="3" fillId="0" borderId="7" xfId="0" applyFont="1" applyBorder="1" applyAlignment="1">
      <alignment horizontal="left"/>
    </xf>
    <xf numFmtId="0" fontId="3" fillId="0" borderId="8" xfId="0" applyFont="1" applyBorder="1" applyAlignment="1">
      <alignment horizontal="left"/>
    </xf>
    <xf numFmtId="0" fontId="3" fillId="2" borderId="9" xfId="0" applyFont="1" applyFill="1" applyBorder="1" applyAlignment="1">
      <alignment vertical="center"/>
    </xf>
    <xf numFmtId="0" fontId="3" fillId="2" borderId="2" xfId="0" applyFont="1" applyFill="1" applyBorder="1" applyAlignment="1">
      <alignment vertical="center"/>
    </xf>
    <xf numFmtId="0" fontId="3" fillId="0" borderId="7" xfId="0" applyFont="1" applyBorder="1" applyAlignment="1">
      <alignment horizontal="center"/>
    </xf>
    <xf numFmtId="0" fontId="3" fillId="0" borderId="8" xfId="0" applyFont="1" applyBorder="1" applyAlignment="1">
      <alignment horizontal="center"/>
    </xf>
  </cellXfs>
  <cellStyles count="1">
    <cellStyle name="Normal" xfId="0" builtinId="0"/>
  </cellStyles>
  <dxfs count="32">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s>
  <tableStyles count="0" defaultTableStyle="TableStyleMedium2" defaultPivotStyle="PivotStyleLight16"/>
  <colors>
    <mruColors>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6"/>
  <sheetViews>
    <sheetView zoomScaleNormal="100" workbookViewId="0">
      <pane ySplit="4" topLeftCell="A31" activePane="bottomLeft" state="frozen"/>
      <selection pane="bottomLeft" activeCell="C38" sqref="C38"/>
    </sheetView>
  </sheetViews>
  <sheetFormatPr baseColWidth="10" defaultColWidth="11.42578125" defaultRowHeight="13.5" x14ac:dyDescent="0.25"/>
  <cols>
    <col min="1" max="1" width="11.7109375" style="1" customWidth="1"/>
    <col min="2" max="2" width="26.85546875" style="1" customWidth="1"/>
    <col min="3" max="3" width="6.28515625" style="1" customWidth="1"/>
    <col min="4" max="4" width="35" style="1" customWidth="1"/>
    <col min="5" max="5" width="35.5703125" style="1" customWidth="1"/>
    <col min="6" max="6" width="7" style="1" customWidth="1"/>
    <col min="7" max="7" width="8.28515625" style="1" customWidth="1"/>
    <col min="8" max="16384" width="11.42578125" style="1"/>
  </cols>
  <sheetData>
    <row r="1" spans="1:7" ht="12" customHeight="1" x14ac:dyDescent="0.25">
      <c r="A1" s="2" t="s">
        <v>16</v>
      </c>
      <c r="B1" s="2"/>
      <c r="C1" s="2"/>
      <c r="D1" s="7" t="s">
        <v>14</v>
      </c>
      <c r="E1" s="2"/>
      <c r="F1" s="2"/>
      <c r="G1" s="3" t="s">
        <v>13</v>
      </c>
    </row>
    <row r="2" spans="1:7" ht="12" customHeight="1" x14ac:dyDescent="0.25">
      <c r="A2" s="2" t="s">
        <v>20</v>
      </c>
      <c r="B2" s="2"/>
      <c r="C2" s="2"/>
      <c r="D2" s="2"/>
      <c r="E2" s="2"/>
      <c r="F2" s="2"/>
      <c r="G2" s="2"/>
    </row>
    <row r="3" spans="1:7" s="10" customFormat="1" ht="12" customHeight="1" x14ac:dyDescent="0.2">
      <c r="A3" s="43" t="s">
        <v>0</v>
      </c>
      <c r="B3" s="43" t="s">
        <v>1</v>
      </c>
      <c r="C3" s="44" t="s">
        <v>17</v>
      </c>
      <c r="D3" s="43" t="s">
        <v>18</v>
      </c>
      <c r="E3" s="45" t="s">
        <v>19</v>
      </c>
      <c r="F3" s="8" t="s">
        <v>2</v>
      </c>
      <c r="G3" s="9" t="s">
        <v>4</v>
      </c>
    </row>
    <row r="4" spans="1:7" s="10" customFormat="1" ht="12" customHeight="1" x14ac:dyDescent="0.2">
      <c r="A4" s="43"/>
      <c r="B4" s="43"/>
      <c r="C4" s="44"/>
      <c r="D4" s="43"/>
      <c r="E4" s="45"/>
      <c r="F4" s="11" t="s">
        <v>3</v>
      </c>
      <c r="G4" s="12" t="s">
        <v>3</v>
      </c>
    </row>
    <row r="5" spans="1:7" s="10" customFormat="1" ht="78.75" x14ac:dyDescent="0.2">
      <c r="A5" s="46" t="s">
        <v>6</v>
      </c>
      <c r="B5" s="5" t="s">
        <v>22</v>
      </c>
      <c r="C5" s="5" t="s">
        <v>23</v>
      </c>
      <c r="D5" s="5" t="s">
        <v>24</v>
      </c>
      <c r="E5" s="4" t="s">
        <v>25</v>
      </c>
      <c r="F5" s="13">
        <v>1</v>
      </c>
      <c r="G5" s="14"/>
    </row>
    <row r="6" spans="1:7" s="10" customFormat="1" ht="22.5" x14ac:dyDescent="0.2">
      <c r="A6" s="47"/>
      <c r="B6" s="5" t="s">
        <v>22</v>
      </c>
      <c r="C6" s="5" t="s">
        <v>45</v>
      </c>
      <c r="D6" s="5" t="s">
        <v>32</v>
      </c>
      <c r="E6" s="5"/>
      <c r="F6" s="13">
        <v>0.5</v>
      </c>
      <c r="G6" s="14"/>
    </row>
    <row r="7" spans="1:7" s="10" customFormat="1" ht="33.75" x14ac:dyDescent="0.2">
      <c r="A7" s="47"/>
      <c r="B7" s="5" t="s">
        <v>22</v>
      </c>
      <c r="C7" s="5" t="s">
        <v>45</v>
      </c>
      <c r="D7" s="5" t="s">
        <v>31</v>
      </c>
      <c r="E7" s="5"/>
      <c r="F7" s="13">
        <v>0.9</v>
      </c>
      <c r="G7" s="14"/>
    </row>
    <row r="8" spans="1:7" s="10" customFormat="1" ht="33.75" x14ac:dyDescent="0.2">
      <c r="A8" s="47"/>
      <c r="B8" s="5" t="s">
        <v>22</v>
      </c>
      <c r="C8" s="5" t="s">
        <v>26</v>
      </c>
      <c r="D8" s="5" t="s">
        <v>27</v>
      </c>
      <c r="E8" s="5"/>
      <c r="F8" s="13">
        <v>0.7</v>
      </c>
      <c r="G8" s="14"/>
    </row>
    <row r="9" spans="1:7" s="10" customFormat="1" ht="45" x14ac:dyDescent="0.2">
      <c r="A9" s="47"/>
      <c r="B9" s="5" t="s">
        <v>22</v>
      </c>
      <c r="C9" s="4" t="s">
        <v>28</v>
      </c>
      <c r="D9" s="4" t="s">
        <v>29</v>
      </c>
      <c r="E9" s="4"/>
      <c r="F9" s="6">
        <v>0.4</v>
      </c>
      <c r="G9" s="14"/>
    </row>
    <row r="10" spans="1:7" s="10" customFormat="1" ht="78.75" x14ac:dyDescent="0.2">
      <c r="A10" s="47"/>
      <c r="B10" s="5" t="s">
        <v>22</v>
      </c>
      <c r="C10" s="5" t="s">
        <v>30</v>
      </c>
      <c r="D10" s="4" t="s">
        <v>33</v>
      </c>
      <c r="E10" s="4" t="s">
        <v>40</v>
      </c>
      <c r="F10" s="6">
        <v>3.5</v>
      </c>
      <c r="G10" s="14"/>
    </row>
    <row r="11" spans="1:7" s="10" customFormat="1" ht="11.25" x14ac:dyDescent="0.2">
      <c r="A11" s="47"/>
      <c r="B11" s="4"/>
      <c r="C11" s="4"/>
      <c r="D11" s="4"/>
      <c r="E11" s="4"/>
      <c r="F11" s="6"/>
      <c r="G11" s="14"/>
    </row>
    <row r="12" spans="1:7" s="10" customFormat="1" ht="12" customHeight="1" x14ac:dyDescent="0.2">
      <c r="A12" s="31">
        <v>45789</v>
      </c>
      <c r="B12" s="16"/>
      <c r="C12" s="16"/>
      <c r="D12" s="16"/>
      <c r="E12" s="17" t="s">
        <v>11</v>
      </c>
      <c r="F12" s="18">
        <f>SUM(F5:F11)</f>
        <v>7</v>
      </c>
      <c r="G12" s="14"/>
    </row>
    <row r="13" spans="1:7" s="10" customFormat="1" ht="56.25" x14ac:dyDescent="0.2">
      <c r="A13" s="50" t="s">
        <v>5</v>
      </c>
      <c r="B13" s="5" t="s">
        <v>22</v>
      </c>
      <c r="C13" s="5" t="s">
        <v>30</v>
      </c>
      <c r="D13" s="4" t="s">
        <v>34</v>
      </c>
      <c r="E13" s="4"/>
      <c r="F13" s="6">
        <v>3.7</v>
      </c>
      <c r="G13" s="14"/>
    </row>
    <row r="14" spans="1:7" s="10" customFormat="1" ht="45" x14ac:dyDescent="0.2">
      <c r="A14" s="51"/>
      <c r="B14" s="5" t="s">
        <v>22</v>
      </c>
      <c r="C14" s="4" t="s">
        <v>28</v>
      </c>
      <c r="D14" s="4" t="s">
        <v>35</v>
      </c>
      <c r="E14" s="4"/>
      <c r="F14" s="6">
        <v>0.5</v>
      </c>
      <c r="G14" s="14"/>
    </row>
    <row r="15" spans="1:7" s="10" customFormat="1" ht="33.75" x14ac:dyDescent="0.2">
      <c r="A15" s="51"/>
      <c r="B15" s="5" t="s">
        <v>22</v>
      </c>
      <c r="C15" s="4" t="s">
        <v>45</v>
      </c>
      <c r="D15" s="4" t="s">
        <v>39</v>
      </c>
      <c r="E15" s="4"/>
      <c r="F15" s="6">
        <v>1.5</v>
      </c>
      <c r="G15" s="14"/>
    </row>
    <row r="16" spans="1:7" s="10" customFormat="1" ht="22.5" x14ac:dyDescent="0.2">
      <c r="A16" s="51"/>
      <c r="B16" s="5" t="s">
        <v>22</v>
      </c>
      <c r="C16" s="4" t="s">
        <v>26</v>
      </c>
      <c r="D16" s="4" t="s">
        <v>36</v>
      </c>
      <c r="E16" s="4"/>
      <c r="F16" s="6">
        <v>0.5</v>
      </c>
      <c r="G16" s="14"/>
    </row>
    <row r="17" spans="1:7" s="10" customFormat="1" ht="22.5" x14ac:dyDescent="0.2">
      <c r="A17" s="51"/>
      <c r="B17" s="5" t="s">
        <v>22</v>
      </c>
      <c r="C17" s="4" t="s">
        <v>26</v>
      </c>
      <c r="D17" s="4" t="s">
        <v>38</v>
      </c>
      <c r="E17" s="4"/>
      <c r="F17" s="33">
        <v>0.25</v>
      </c>
      <c r="G17" s="14"/>
    </row>
    <row r="18" spans="1:7" s="10" customFormat="1" ht="33.75" x14ac:dyDescent="0.2">
      <c r="A18" s="51"/>
      <c r="B18" s="5" t="s">
        <v>22</v>
      </c>
      <c r="C18" s="4" t="s">
        <v>30</v>
      </c>
      <c r="D18" s="4" t="s">
        <v>37</v>
      </c>
      <c r="E18" s="4"/>
      <c r="F18" s="33">
        <v>0.5</v>
      </c>
      <c r="G18" s="14"/>
    </row>
    <row r="19" spans="1:7" s="10" customFormat="1" ht="11.25" x14ac:dyDescent="0.2">
      <c r="A19" s="51"/>
      <c r="B19" s="5"/>
      <c r="C19" s="4"/>
      <c r="D19" s="4"/>
      <c r="E19" s="4"/>
      <c r="F19" s="4"/>
      <c r="G19" s="14"/>
    </row>
    <row r="20" spans="1:7" s="10" customFormat="1" ht="12" customHeight="1" x14ac:dyDescent="0.2">
      <c r="A20" s="31">
        <v>45790</v>
      </c>
      <c r="B20" s="16"/>
      <c r="C20" s="16"/>
      <c r="D20" s="16"/>
      <c r="E20" s="17" t="s">
        <v>11</v>
      </c>
      <c r="F20" s="18">
        <f>SUM(F13:F18)</f>
        <v>6.95</v>
      </c>
      <c r="G20" s="14"/>
    </row>
    <row r="21" spans="1:7" s="10" customFormat="1" ht="67.5" x14ac:dyDescent="0.2">
      <c r="A21" s="46" t="s">
        <v>7</v>
      </c>
      <c r="B21" s="5" t="s">
        <v>22</v>
      </c>
      <c r="C21" s="4" t="s">
        <v>45</v>
      </c>
      <c r="D21" s="4" t="s">
        <v>43</v>
      </c>
      <c r="E21" s="4"/>
      <c r="F21" s="6">
        <v>3</v>
      </c>
      <c r="G21" s="14"/>
    </row>
    <row r="22" spans="1:7" s="10" customFormat="1" ht="33.75" x14ac:dyDescent="0.2">
      <c r="A22" s="47"/>
      <c r="B22" s="5" t="s">
        <v>22</v>
      </c>
      <c r="C22" s="4" t="s">
        <v>45</v>
      </c>
      <c r="D22" s="4" t="s">
        <v>41</v>
      </c>
      <c r="E22" s="4"/>
      <c r="F22" s="6">
        <v>0.2</v>
      </c>
      <c r="G22" s="14"/>
    </row>
    <row r="23" spans="1:7" s="10" customFormat="1" ht="22.5" x14ac:dyDescent="0.2">
      <c r="A23" s="47"/>
      <c r="B23" s="5" t="s">
        <v>22</v>
      </c>
      <c r="C23" s="4" t="s">
        <v>45</v>
      </c>
      <c r="D23" s="4" t="s">
        <v>53</v>
      </c>
      <c r="E23" s="4"/>
      <c r="F23" s="6">
        <v>0.25</v>
      </c>
      <c r="G23" s="14"/>
    </row>
    <row r="24" spans="1:7" s="10" customFormat="1" ht="56.25" x14ac:dyDescent="0.2">
      <c r="A24" s="47"/>
      <c r="B24" s="5" t="s">
        <v>22</v>
      </c>
      <c r="C24" s="4" t="s">
        <v>30</v>
      </c>
      <c r="D24" s="4" t="s">
        <v>42</v>
      </c>
      <c r="E24" s="4"/>
      <c r="F24" s="6">
        <v>1.2</v>
      </c>
      <c r="G24" s="14"/>
    </row>
    <row r="25" spans="1:7" s="10" customFormat="1" ht="45" x14ac:dyDescent="0.2">
      <c r="A25" s="47"/>
      <c r="B25" s="5" t="s">
        <v>22</v>
      </c>
      <c r="C25" s="4" t="s">
        <v>30</v>
      </c>
      <c r="D25" s="4" t="s">
        <v>44</v>
      </c>
      <c r="E25" s="4"/>
      <c r="F25" s="6">
        <v>0.3</v>
      </c>
      <c r="G25" s="14"/>
    </row>
    <row r="26" spans="1:7" s="10" customFormat="1" ht="56.25" x14ac:dyDescent="0.2">
      <c r="A26" s="47"/>
      <c r="B26" s="5" t="s">
        <v>22</v>
      </c>
      <c r="C26" s="4" t="s">
        <v>30</v>
      </c>
      <c r="D26" s="4" t="s">
        <v>46</v>
      </c>
      <c r="E26" s="4" t="s">
        <v>47</v>
      </c>
      <c r="F26" s="6">
        <v>1.5</v>
      </c>
      <c r="G26" s="14"/>
    </row>
    <row r="27" spans="1:7" s="10" customFormat="1" ht="33.75" x14ac:dyDescent="0.2">
      <c r="A27" s="47"/>
      <c r="B27" s="5" t="s">
        <v>22</v>
      </c>
      <c r="C27" s="4" t="s">
        <v>26</v>
      </c>
      <c r="D27" s="4" t="s">
        <v>48</v>
      </c>
      <c r="E27" s="4"/>
      <c r="F27" s="6">
        <v>0.5</v>
      </c>
      <c r="G27" s="14"/>
    </row>
    <row r="28" spans="1:7" s="10" customFormat="1" ht="12" customHeight="1" x14ac:dyDescent="0.2">
      <c r="A28" s="31">
        <v>45791</v>
      </c>
      <c r="B28" s="16"/>
      <c r="C28" s="16"/>
      <c r="D28" s="16"/>
      <c r="E28" s="17" t="s">
        <v>11</v>
      </c>
      <c r="F28" s="18">
        <f>SUM(F21:F27)</f>
        <v>6.95</v>
      </c>
      <c r="G28" s="14"/>
    </row>
    <row r="29" spans="1:7" s="10" customFormat="1" ht="22.5" x14ac:dyDescent="0.2">
      <c r="A29" s="46" t="s">
        <v>8</v>
      </c>
      <c r="B29" s="5" t="s">
        <v>22</v>
      </c>
      <c r="C29" s="4" t="s">
        <v>45</v>
      </c>
      <c r="D29" s="4" t="s">
        <v>53</v>
      </c>
      <c r="E29" s="4"/>
      <c r="F29" s="6">
        <v>0.33333333333333331</v>
      </c>
      <c r="G29" s="14"/>
    </row>
    <row r="30" spans="1:7" s="10" customFormat="1" ht="33.75" x14ac:dyDescent="0.2">
      <c r="A30" s="47"/>
      <c r="B30" s="5" t="s">
        <v>22</v>
      </c>
      <c r="C30" s="4" t="s">
        <v>30</v>
      </c>
      <c r="D30" s="4" t="s">
        <v>49</v>
      </c>
      <c r="E30" s="4" t="s">
        <v>50</v>
      </c>
      <c r="F30" s="6">
        <v>0.3</v>
      </c>
      <c r="G30" s="14"/>
    </row>
    <row r="31" spans="1:7" s="10" customFormat="1" ht="90" x14ac:dyDescent="0.2">
      <c r="A31" s="47"/>
      <c r="B31" s="5" t="s">
        <v>22</v>
      </c>
      <c r="C31" s="4" t="s">
        <v>30</v>
      </c>
      <c r="D31" s="4" t="s">
        <v>51</v>
      </c>
      <c r="E31" s="4" t="s">
        <v>54</v>
      </c>
      <c r="F31" s="6">
        <v>1</v>
      </c>
      <c r="G31" s="14"/>
    </row>
    <row r="32" spans="1:7" s="10" customFormat="1" ht="78.75" x14ac:dyDescent="0.2">
      <c r="A32" s="47"/>
      <c r="B32" s="5" t="s">
        <v>22</v>
      </c>
      <c r="C32" s="4" t="s">
        <v>26</v>
      </c>
      <c r="D32" s="4" t="s">
        <v>52</v>
      </c>
      <c r="E32" s="4"/>
      <c r="F32" s="6">
        <v>2.1</v>
      </c>
      <c r="G32" s="14"/>
    </row>
    <row r="33" spans="1:7" s="10" customFormat="1" ht="67.5" x14ac:dyDescent="0.2">
      <c r="A33" s="47"/>
      <c r="B33" s="5" t="s">
        <v>22</v>
      </c>
      <c r="C33" s="4" t="s">
        <v>26</v>
      </c>
      <c r="D33" s="4" t="s">
        <v>56</v>
      </c>
      <c r="E33" s="4"/>
      <c r="F33" s="6">
        <v>3.3</v>
      </c>
      <c r="G33" s="14"/>
    </row>
    <row r="34" spans="1:7" s="10" customFormat="1" ht="45" x14ac:dyDescent="0.2">
      <c r="A34" s="47"/>
      <c r="B34" s="4"/>
      <c r="C34" s="4"/>
      <c r="D34" s="4"/>
      <c r="E34" s="4" t="s">
        <v>55</v>
      </c>
      <c r="F34" s="6"/>
      <c r="G34" s="14"/>
    </row>
    <row r="35" spans="1:7" s="10" customFormat="1" ht="12" customHeight="1" x14ac:dyDescent="0.2">
      <c r="A35" s="31">
        <v>45792</v>
      </c>
      <c r="B35" s="16"/>
      <c r="C35" s="16"/>
      <c r="D35" s="16"/>
      <c r="E35" s="17" t="s">
        <v>11</v>
      </c>
      <c r="F35" s="18">
        <f>SUM(F29:F34)</f>
        <v>7.0333333333333332</v>
      </c>
      <c r="G35" s="14"/>
    </row>
    <row r="36" spans="1:7" s="10" customFormat="1" ht="22.5" x14ac:dyDescent="0.2">
      <c r="A36" s="46" t="s">
        <v>9</v>
      </c>
      <c r="B36" s="5" t="s">
        <v>22</v>
      </c>
      <c r="C36" s="4" t="s">
        <v>45</v>
      </c>
      <c r="D36" s="4" t="s">
        <v>53</v>
      </c>
      <c r="E36" s="4"/>
      <c r="F36" s="6">
        <v>0.33333333333333331</v>
      </c>
      <c r="G36" s="14"/>
    </row>
    <row r="37" spans="1:7" s="10" customFormat="1" ht="33.75" x14ac:dyDescent="0.2">
      <c r="A37" s="47"/>
      <c r="B37" s="5" t="s">
        <v>22</v>
      </c>
      <c r="C37" s="4" t="s">
        <v>45</v>
      </c>
      <c r="D37" s="4" t="s">
        <v>57</v>
      </c>
      <c r="E37" s="4"/>
      <c r="F37" s="6">
        <v>1.5</v>
      </c>
      <c r="G37" s="14"/>
    </row>
    <row r="38" spans="1:7" s="10" customFormat="1" ht="56.25" x14ac:dyDescent="0.2">
      <c r="A38" s="47"/>
      <c r="B38" s="5" t="s">
        <v>22</v>
      </c>
      <c r="C38" s="4" t="s">
        <v>26</v>
      </c>
      <c r="D38" s="4" t="s">
        <v>58</v>
      </c>
      <c r="E38" s="4" t="s">
        <v>59</v>
      </c>
      <c r="F38" s="6">
        <v>3.2</v>
      </c>
      <c r="G38" s="14"/>
    </row>
    <row r="39" spans="1:7" s="10" customFormat="1" ht="56.25" x14ac:dyDescent="0.2">
      <c r="A39" s="47"/>
      <c r="B39" s="5" t="s">
        <v>22</v>
      </c>
      <c r="C39" s="4" t="s">
        <v>26</v>
      </c>
      <c r="D39" s="4" t="s">
        <v>61</v>
      </c>
      <c r="E39" s="4" t="s">
        <v>60</v>
      </c>
      <c r="F39" s="6">
        <v>2</v>
      </c>
      <c r="G39" s="14"/>
    </row>
    <row r="40" spans="1:7" s="10" customFormat="1" ht="11.25" x14ac:dyDescent="0.2">
      <c r="A40" s="47"/>
      <c r="B40" s="5"/>
      <c r="C40" s="4"/>
      <c r="D40" s="4"/>
      <c r="E40" s="4"/>
      <c r="F40" s="6"/>
      <c r="G40" s="14"/>
    </row>
    <row r="41" spans="1:7" s="10" customFormat="1" ht="12" customHeight="1" x14ac:dyDescent="0.2">
      <c r="A41" s="31">
        <v>45793</v>
      </c>
      <c r="B41" s="19"/>
      <c r="C41" s="19"/>
      <c r="D41" s="19"/>
      <c r="E41" s="20" t="s">
        <v>11</v>
      </c>
      <c r="F41" s="21">
        <f>SUM(F36:F40)</f>
        <v>7.0333333333333332</v>
      </c>
      <c r="G41" s="14"/>
    </row>
    <row r="42" spans="1:7" s="10" customFormat="1" ht="12" customHeight="1" x14ac:dyDescent="0.2">
      <c r="A42" s="45" t="s">
        <v>10</v>
      </c>
      <c r="B42" s="48"/>
      <c r="C42" s="48"/>
      <c r="D42" s="49"/>
      <c r="E42" s="17"/>
      <c r="F42" s="17" t="s">
        <v>12</v>
      </c>
      <c r="G42" s="22">
        <f>F12+F20+F28+F35+F41</f>
        <v>34.966666666666661</v>
      </c>
    </row>
    <row r="43" spans="1:7" s="10" customFormat="1" ht="82.5" customHeight="1" x14ac:dyDescent="0.2">
      <c r="A43" s="40" t="s">
        <v>62</v>
      </c>
      <c r="B43" s="41"/>
      <c r="C43" s="41"/>
      <c r="D43" s="41"/>
      <c r="E43" s="41"/>
      <c r="F43" s="41"/>
      <c r="G43" s="42"/>
    </row>
    <row r="46" spans="1:7" x14ac:dyDescent="0.25">
      <c r="A46" s="37"/>
      <c r="B46" s="37"/>
      <c r="C46" s="39"/>
      <c r="D46" s="37"/>
      <c r="E46" s="37"/>
      <c r="F46" s="23"/>
      <c r="G46" s="23"/>
    </row>
    <row r="47" spans="1:7" x14ac:dyDescent="0.25">
      <c r="A47" s="37"/>
      <c r="B47" s="37"/>
      <c r="C47" s="39"/>
      <c r="D47" s="37"/>
      <c r="E47" s="37"/>
      <c r="F47" s="23"/>
      <c r="G47" s="23"/>
    </row>
    <row r="48" spans="1:7" x14ac:dyDescent="0.25">
      <c r="A48" s="36"/>
      <c r="B48" s="25"/>
      <c r="C48" s="25"/>
      <c r="D48" s="25"/>
      <c r="E48" s="25"/>
      <c r="F48" s="26"/>
      <c r="G48" s="10"/>
    </row>
    <row r="49" spans="1:7" x14ac:dyDescent="0.25">
      <c r="A49" s="36"/>
      <c r="B49" s="25"/>
      <c r="C49" s="25"/>
      <c r="D49" s="25"/>
      <c r="E49" s="25"/>
      <c r="F49" s="26"/>
      <c r="G49" s="10"/>
    </row>
    <row r="50" spans="1:7" x14ac:dyDescent="0.25">
      <c r="A50" s="36"/>
      <c r="B50" s="25"/>
      <c r="C50" s="25"/>
      <c r="D50" s="25"/>
      <c r="E50" s="25"/>
      <c r="F50" s="26"/>
      <c r="G50" s="10"/>
    </row>
    <row r="51" spans="1:7" x14ac:dyDescent="0.25">
      <c r="A51" s="36"/>
      <c r="B51" s="25"/>
      <c r="C51" s="25"/>
      <c r="D51" s="25"/>
      <c r="E51" s="25"/>
      <c r="F51" s="26"/>
      <c r="G51" s="10"/>
    </row>
    <row r="52" spans="1:7" x14ac:dyDescent="0.25">
      <c r="A52" s="36"/>
      <c r="B52" s="25"/>
      <c r="C52" s="25"/>
      <c r="D52" s="25"/>
      <c r="E52" s="25"/>
      <c r="F52" s="26"/>
      <c r="G52" s="10"/>
    </row>
    <row r="53" spans="1:7" x14ac:dyDescent="0.25">
      <c r="A53" s="36"/>
      <c r="B53" s="25"/>
      <c r="C53" s="25"/>
      <c r="D53" s="25"/>
      <c r="E53" s="25"/>
      <c r="F53" s="26"/>
      <c r="G53" s="10"/>
    </row>
    <row r="54" spans="1:7" x14ac:dyDescent="0.25">
      <c r="A54" s="24"/>
      <c r="B54" s="10"/>
      <c r="C54" s="10"/>
      <c r="D54" s="10"/>
      <c r="E54" s="27"/>
      <c r="F54" s="28"/>
      <c r="G54" s="10"/>
    </row>
    <row r="55" spans="1:7" x14ac:dyDescent="0.25">
      <c r="A55" s="36"/>
      <c r="B55" s="25"/>
      <c r="C55" s="25"/>
      <c r="D55" s="25"/>
      <c r="E55" s="25"/>
      <c r="F55" s="26"/>
      <c r="G55" s="10"/>
    </row>
    <row r="56" spans="1:7" x14ac:dyDescent="0.25">
      <c r="A56" s="36"/>
      <c r="B56" s="25"/>
      <c r="C56" s="25"/>
      <c r="D56" s="25"/>
      <c r="E56" s="25"/>
      <c r="F56" s="26"/>
      <c r="G56" s="10"/>
    </row>
    <row r="57" spans="1:7" x14ac:dyDescent="0.25">
      <c r="A57" s="36"/>
      <c r="B57" s="25"/>
      <c r="C57" s="25"/>
      <c r="D57" s="25"/>
      <c r="E57" s="25"/>
      <c r="F57" s="26"/>
      <c r="G57" s="10"/>
    </row>
    <row r="58" spans="1:7" x14ac:dyDescent="0.25">
      <c r="A58" s="36"/>
      <c r="B58" s="25"/>
      <c r="C58" s="25"/>
      <c r="D58" s="25"/>
      <c r="E58" s="25"/>
      <c r="F58" s="26"/>
      <c r="G58" s="10"/>
    </row>
    <row r="59" spans="1:7" x14ac:dyDescent="0.25">
      <c r="A59" s="24"/>
      <c r="B59" s="10"/>
      <c r="C59" s="10"/>
      <c r="D59" s="10"/>
      <c r="E59" s="27"/>
      <c r="F59" s="28"/>
      <c r="G59" s="10"/>
    </row>
    <row r="60" spans="1:7" x14ac:dyDescent="0.25">
      <c r="A60" s="36"/>
      <c r="B60" s="25"/>
      <c r="C60" s="25"/>
      <c r="D60" s="25"/>
      <c r="E60" s="25"/>
      <c r="F60" s="26"/>
      <c r="G60" s="10"/>
    </row>
    <row r="61" spans="1:7" x14ac:dyDescent="0.25">
      <c r="A61" s="36"/>
      <c r="B61" s="25"/>
      <c r="C61" s="25"/>
      <c r="D61" s="25"/>
      <c r="E61" s="25"/>
      <c r="F61" s="26"/>
      <c r="G61" s="10"/>
    </row>
    <row r="62" spans="1:7" x14ac:dyDescent="0.25">
      <c r="A62" s="36"/>
      <c r="B62" s="25"/>
      <c r="C62" s="25"/>
      <c r="D62" s="25"/>
      <c r="E62" s="25"/>
      <c r="F62" s="26"/>
      <c r="G62" s="10"/>
    </row>
    <row r="63" spans="1:7" x14ac:dyDescent="0.25">
      <c r="A63" s="36"/>
      <c r="B63" s="25"/>
      <c r="C63" s="25"/>
      <c r="D63" s="25"/>
      <c r="E63" s="25"/>
      <c r="F63" s="26"/>
      <c r="G63" s="10"/>
    </row>
    <row r="64" spans="1:7" x14ac:dyDescent="0.25">
      <c r="A64" s="24"/>
      <c r="B64" s="10"/>
      <c r="C64" s="10"/>
      <c r="D64" s="10"/>
      <c r="E64" s="27"/>
      <c r="F64" s="28"/>
      <c r="G64" s="10"/>
    </row>
    <row r="65" spans="1:7" x14ac:dyDescent="0.25">
      <c r="A65" s="36"/>
      <c r="B65" s="25"/>
      <c r="C65" s="25"/>
      <c r="D65" s="25"/>
      <c r="E65" s="25"/>
      <c r="F65" s="26"/>
      <c r="G65" s="10"/>
    </row>
    <row r="66" spans="1:7" x14ac:dyDescent="0.25">
      <c r="A66" s="36"/>
      <c r="B66" s="25"/>
      <c r="C66" s="25"/>
      <c r="D66" s="25"/>
      <c r="E66" s="25"/>
      <c r="F66" s="26"/>
      <c r="G66" s="10"/>
    </row>
    <row r="67" spans="1:7" x14ac:dyDescent="0.25">
      <c r="A67" s="36"/>
      <c r="B67" s="25"/>
      <c r="C67" s="25"/>
      <c r="D67" s="25"/>
      <c r="E67" s="25"/>
      <c r="F67" s="26"/>
      <c r="G67" s="10"/>
    </row>
    <row r="68" spans="1:7" x14ac:dyDescent="0.25">
      <c r="A68" s="36"/>
      <c r="B68" s="25"/>
      <c r="C68" s="25"/>
      <c r="D68" s="25"/>
      <c r="E68" s="25"/>
      <c r="F68" s="26"/>
      <c r="G68" s="10"/>
    </row>
    <row r="69" spans="1:7" x14ac:dyDescent="0.25">
      <c r="A69" s="24"/>
      <c r="B69" s="10"/>
      <c r="C69" s="10"/>
      <c r="D69" s="10"/>
      <c r="E69" s="27"/>
      <c r="F69" s="28"/>
      <c r="G69" s="10"/>
    </row>
    <row r="70" spans="1:7" x14ac:dyDescent="0.25">
      <c r="A70" s="36"/>
      <c r="B70" s="25"/>
      <c r="C70" s="25"/>
      <c r="D70" s="25"/>
      <c r="E70" s="25"/>
      <c r="F70" s="26"/>
      <c r="G70" s="10"/>
    </row>
    <row r="71" spans="1:7" x14ac:dyDescent="0.25">
      <c r="A71" s="36"/>
      <c r="B71" s="25"/>
      <c r="C71" s="25"/>
      <c r="D71" s="25"/>
      <c r="E71" s="25"/>
      <c r="F71" s="26"/>
      <c r="G71" s="10"/>
    </row>
    <row r="72" spans="1:7" x14ac:dyDescent="0.25">
      <c r="A72" s="36"/>
      <c r="B72" s="25"/>
      <c r="C72" s="25"/>
      <c r="D72" s="25"/>
      <c r="E72" s="25"/>
      <c r="F72" s="26"/>
      <c r="G72" s="10"/>
    </row>
    <row r="73" spans="1:7" x14ac:dyDescent="0.25">
      <c r="A73" s="36"/>
      <c r="B73" s="25"/>
      <c r="C73" s="25"/>
      <c r="D73" s="25"/>
      <c r="E73" s="25"/>
      <c r="F73" s="26"/>
      <c r="G73" s="10"/>
    </row>
    <row r="74" spans="1:7" x14ac:dyDescent="0.25">
      <c r="A74" s="24"/>
      <c r="B74" s="29"/>
      <c r="C74" s="29"/>
      <c r="D74" s="29"/>
      <c r="E74" s="30"/>
      <c r="F74" s="28"/>
      <c r="G74" s="10"/>
    </row>
    <row r="75" spans="1:7" x14ac:dyDescent="0.25">
      <c r="A75" s="37"/>
      <c r="B75" s="37"/>
      <c r="C75" s="37"/>
      <c r="D75" s="37"/>
      <c r="E75" s="27"/>
      <c r="F75" s="27"/>
      <c r="G75" s="28"/>
    </row>
    <row r="76" spans="1:7" x14ac:dyDescent="0.25">
      <c r="A76" s="38"/>
      <c r="B76" s="38"/>
      <c r="C76" s="38"/>
      <c r="D76" s="38"/>
      <c r="E76" s="38"/>
      <c r="F76" s="38"/>
      <c r="G76" s="38"/>
    </row>
  </sheetData>
  <mergeCells count="24">
    <mergeCell ref="A43:G43"/>
    <mergeCell ref="A3:A4"/>
    <mergeCell ref="B3:B4"/>
    <mergeCell ref="C3:C4"/>
    <mergeCell ref="D3:D4"/>
    <mergeCell ref="E3:E4"/>
    <mergeCell ref="A5:A11"/>
    <mergeCell ref="A21:A27"/>
    <mergeCell ref="A29:A34"/>
    <mergeCell ref="A36:A40"/>
    <mergeCell ref="A42:D42"/>
    <mergeCell ref="A13:A19"/>
    <mergeCell ref="A46:A47"/>
    <mergeCell ref="B46:B47"/>
    <mergeCell ref="C46:C47"/>
    <mergeCell ref="D46:D47"/>
    <mergeCell ref="E46:E47"/>
    <mergeCell ref="A48:A53"/>
    <mergeCell ref="A75:D75"/>
    <mergeCell ref="A76:G76"/>
    <mergeCell ref="A55:A58"/>
    <mergeCell ref="A60:A63"/>
    <mergeCell ref="A65:A68"/>
    <mergeCell ref="A70:A73"/>
  </mergeCells>
  <conditionalFormatting sqref="F5:F16 F20:F41">
    <cfRule type="containsText" dxfId="31" priority="1" operator="containsText" text="Terminé">
      <formula>NOT(ISERROR(SEARCH("Terminé",F5)))</formula>
    </cfRule>
    <cfRule type="containsText" dxfId="30" priority="2" operator="containsText" text="En cours">
      <formula>NOT(ISERROR(SEARCH("En cours",F5)))</formula>
    </cfRule>
  </conditionalFormatting>
  <conditionalFormatting sqref="F48:F74">
    <cfRule type="containsText" dxfId="29" priority="13" operator="containsText" text="Terminé">
      <formula>NOT(ISERROR(SEARCH("Terminé",F48)))</formula>
    </cfRule>
    <cfRule type="containsText" dxfId="28" priority="14" operator="containsText" text="En cours">
      <formula>NOT(ISERROR(SEARCH("En cours",F48)))</formula>
    </cfRule>
  </conditionalFormatting>
  <conditionalFormatting sqref="G42">
    <cfRule type="containsText" dxfId="27" priority="3" operator="containsText" text="Terminé">
      <formula>NOT(ISERROR(SEARCH("Terminé",G42)))</formula>
    </cfRule>
    <cfRule type="containsText" dxfId="26" priority="4" operator="containsText" text="En cours">
      <formula>NOT(ISERROR(SEARCH("En cours",G42)))</formula>
    </cfRule>
  </conditionalFormatting>
  <conditionalFormatting sqref="G75">
    <cfRule type="containsText" dxfId="25" priority="15" operator="containsText" text="Terminé">
      <formula>NOT(ISERROR(SEARCH("Terminé",G75)))</formula>
    </cfRule>
    <cfRule type="containsText" dxfId="24" priority="16" operator="containsText" text="En cours">
      <formula>NOT(ISERROR(SEARCH("En cours",G75)))</formula>
    </cfRule>
  </conditionalFormatting>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1"/>
  <sheetViews>
    <sheetView zoomScaleNormal="100" workbookViewId="0">
      <pane ySplit="4" topLeftCell="A5" activePane="bottomLeft" state="frozen"/>
      <selection pane="bottomLeft" activeCell="B5" sqref="B5:F5"/>
    </sheetView>
  </sheetViews>
  <sheetFormatPr baseColWidth="10" defaultColWidth="11.42578125" defaultRowHeight="13.5" x14ac:dyDescent="0.25"/>
  <cols>
    <col min="1" max="1" width="12" style="1" customWidth="1"/>
    <col min="2" max="2" width="26.28515625" style="1" customWidth="1"/>
    <col min="3" max="3" width="6.7109375" style="1" customWidth="1"/>
    <col min="4" max="4" width="35" style="1" customWidth="1"/>
    <col min="5" max="5" width="35.5703125" style="1" customWidth="1"/>
    <col min="6" max="6" width="7" style="1" customWidth="1"/>
    <col min="7" max="7" width="8.28515625" style="1" customWidth="1"/>
    <col min="8" max="16384" width="11.42578125" style="1"/>
  </cols>
  <sheetData>
    <row r="1" spans="1:7" ht="12" customHeight="1" x14ac:dyDescent="0.25">
      <c r="A1" s="2" t="s">
        <v>16</v>
      </c>
      <c r="B1" s="2"/>
      <c r="C1" s="2"/>
      <c r="D1" s="7" t="s">
        <v>14</v>
      </c>
      <c r="E1" s="2"/>
      <c r="F1" s="2"/>
      <c r="G1" s="3" t="s">
        <v>13</v>
      </c>
    </row>
    <row r="2" spans="1:7" ht="12" customHeight="1" x14ac:dyDescent="0.25">
      <c r="A2" s="2" t="s">
        <v>20</v>
      </c>
      <c r="B2" s="2"/>
      <c r="C2" s="2"/>
      <c r="D2" s="2"/>
      <c r="E2" s="2"/>
      <c r="F2" s="2"/>
      <c r="G2" s="2"/>
    </row>
    <row r="3" spans="1:7" s="10" customFormat="1" ht="12" customHeight="1" x14ac:dyDescent="0.2">
      <c r="A3" s="43" t="s">
        <v>0</v>
      </c>
      <c r="B3" s="43" t="s">
        <v>1</v>
      </c>
      <c r="C3" s="44" t="s">
        <v>17</v>
      </c>
      <c r="D3" s="43" t="s">
        <v>18</v>
      </c>
      <c r="E3" s="45" t="s">
        <v>19</v>
      </c>
      <c r="F3" s="8" t="s">
        <v>2</v>
      </c>
      <c r="G3" s="9" t="s">
        <v>4</v>
      </c>
    </row>
    <row r="4" spans="1:7" s="10" customFormat="1" ht="12" customHeight="1" x14ac:dyDescent="0.2">
      <c r="A4" s="43"/>
      <c r="B4" s="43"/>
      <c r="C4" s="44"/>
      <c r="D4" s="43"/>
      <c r="E4" s="45"/>
      <c r="F4" s="11" t="s">
        <v>3</v>
      </c>
      <c r="G4" s="12" t="s">
        <v>3</v>
      </c>
    </row>
    <row r="5" spans="1:7" s="10" customFormat="1" ht="22.5" x14ac:dyDescent="0.2">
      <c r="A5" s="46" t="s">
        <v>6</v>
      </c>
      <c r="B5" s="5" t="s">
        <v>22</v>
      </c>
      <c r="C5" s="5" t="s">
        <v>45</v>
      </c>
      <c r="D5" s="5" t="s">
        <v>63</v>
      </c>
      <c r="E5" s="4"/>
      <c r="F5" s="13">
        <v>0.2</v>
      </c>
      <c r="G5" s="14"/>
    </row>
    <row r="6" spans="1:7" s="10" customFormat="1" ht="45" x14ac:dyDescent="0.2">
      <c r="A6" s="47"/>
      <c r="B6" s="5" t="s">
        <v>22</v>
      </c>
      <c r="C6" s="5" t="s">
        <v>26</v>
      </c>
      <c r="D6" s="5" t="s">
        <v>64</v>
      </c>
      <c r="E6" s="5"/>
      <c r="F6" s="13">
        <v>2</v>
      </c>
      <c r="G6" s="14"/>
    </row>
    <row r="7" spans="1:7" s="10" customFormat="1" ht="90" x14ac:dyDescent="0.2">
      <c r="A7" s="47"/>
      <c r="B7" s="5" t="s">
        <v>22</v>
      </c>
      <c r="C7" s="5" t="s">
        <v>26</v>
      </c>
      <c r="D7" s="5" t="s">
        <v>65</v>
      </c>
      <c r="E7" s="5" t="s">
        <v>67</v>
      </c>
      <c r="F7" s="13">
        <v>3.8</v>
      </c>
      <c r="G7" s="14"/>
    </row>
    <row r="8" spans="1:7" s="10" customFormat="1" ht="33.75" x14ac:dyDescent="0.2">
      <c r="A8" s="47"/>
      <c r="B8" s="5" t="s">
        <v>22</v>
      </c>
      <c r="C8" s="4" t="s">
        <v>45</v>
      </c>
      <c r="D8" s="4" t="s">
        <v>66</v>
      </c>
      <c r="E8" s="4"/>
      <c r="F8" s="6">
        <v>1</v>
      </c>
      <c r="G8" s="14"/>
    </row>
    <row r="9" spans="1:7" s="10" customFormat="1" ht="11.25" x14ac:dyDescent="0.2">
      <c r="A9" s="47"/>
      <c r="B9" s="4"/>
      <c r="C9" s="4"/>
      <c r="D9" s="4"/>
      <c r="E9" s="4"/>
      <c r="F9" s="6"/>
      <c r="G9" s="14"/>
    </row>
    <row r="10" spans="1:7" s="10" customFormat="1" ht="12" customHeight="1" x14ac:dyDescent="0.2">
      <c r="A10" s="47"/>
      <c r="B10" s="4"/>
      <c r="C10" s="4"/>
      <c r="D10" s="4"/>
      <c r="E10" s="4"/>
      <c r="F10" s="6"/>
      <c r="G10" s="14"/>
    </row>
    <row r="11" spans="1:7" s="10" customFormat="1" ht="11.25" x14ac:dyDescent="0.2">
      <c r="A11" s="31">
        <v>45796</v>
      </c>
      <c r="B11" s="16"/>
      <c r="C11" s="16"/>
      <c r="D11" s="16"/>
      <c r="E11" s="17" t="s">
        <v>11</v>
      </c>
      <c r="F11" s="18">
        <f>SUM(F5:F10)</f>
        <v>7</v>
      </c>
      <c r="G11" s="14"/>
    </row>
    <row r="12" spans="1:7" s="10" customFormat="1" ht="22.5" x14ac:dyDescent="0.2">
      <c r="A12" s="47" t="s">
        <v>5</v>
      </c>
      <c r="B12" s="5" t="s">
        <v>22</v>
      </c>
      <c r="C12" s="5" t="s">
        <v>45</v>
      </c>
      <c r="D12" s="5" t="s">
        <v>63</v>
      </c>
      <c r="E12" s="4"/>
      <c r="F12" s="13">
        <v>0.2</v>
      </c>
      <c r="G12" s="14"/>
    </row>
    <row r="13" spans="1:7" s="10" customFormat="1" ht="67.5" x14ac:dyDescent="0.2">
      <c r="A13" s="47"/>
      <c r="B13" s="5" t="s">
        <v>22</v>
      </c>
      <c r="C13" s="5" t="s">
        <v>26</v>
      </c>
      <c r="D13" s="4" t="s">
        <v>68</v>
      </c>
      <c r="E13" s="4"/>
      <c r="F13" s="6">
        <v>5.6</v>
      </c>
      <c r="G13" s="14"/>
    </row>
    <row r="14" spans="1:7" s="10" customFormat="1" ht="22.5" x14ac:dyDescent="0.2">
      <c r="A14" s="47"/>
      <c r="B14" s="5" t="s">
        <v>22</v>
      </c>
      <c r="C14" s="5" t="s">
        <v>45</v>
      </c>
      <c r="D14" s="4" t="s">
        <v>70</v>
      </c>
      <c r="E14" s="4"/>
      <c r="F14" s="6">
        <v>1</v>
      </c>
      <c r="G14" s="14"/>
    </row>
    <row r="15" spans="1:7" s="10" customFormat="1" ht="56.25" x14ac:dyDescent="0.2">
      <c r="A15" s="47"/>
      <c r="B15" s="5" t="s">
        <v>22</v>
      </c>
      <c r="C15" s="5" t="s">
        <v>45</v>
      </c>
      <c r="D15" s="4" t="s">
        <v>69</v>
      </c>
      <c r="E15" s="4"/>
      <c r="F15" s="6">
        <v>0.2</v>
      </c>
      <c r="G15" s="14"/>
    </row>
    <row r="16" spans="1:7" s="10" customFormat="1" ht="12" customHeight="1" x14ac:dyDescent="0.2">
      <c r="A16" s="47"/>
      <c r="B16" s="4"/>
      <c r="C16" s="4"/>
      <c r="D16" s="4"/>
      <c r="E16" s="4"/>
      <c r="F16" s="6"/>
      <c r="G16" s="14"/>
    </row>
    <row r="17" spans="1:10" s="10" customFormat="1" ht="11.25" x14ac:dyDescent="0.2">
      <c r="A17" s="31">
        <v>45797</v>
      </c>
      <c r="B17" s="16"/>
      <c r="C17" s="16"/>
      <c r="D17" s="16"/>
      <c r="E17" s="17" t="s">
        <v>11</v>
      </c>
      <c r="F17" s="18">
        <f>SUM(F12:F16)</f>
        <v>7</v>
      </c>
      <c r="G17" s="14"/>
    </row>
    <row r="18" spans="1:10" s="10" customFormat="1" ht="22.5" x14ac:dyDescent="0.2">
      <c r="A18" s="47" t="s">
        <v>7</v>
      </c>
      <c r="B18" s="5" t="s">
        <v>22</v>
      </c>
      <c r="C18" s="5" t="s">
        <v>45</v>
      </c>
      <c r="D18" s="5" t="s">
        <v>63</v>
      </c>
      <c r="E18" s="4"/>
      <c r="F18" s="13">
        <v>0.2</v>
      </c>
      <c r="G18" s="14"/>
      <c r="J18" s="32"/>
    </row>
    <row r="19" spans="1:10" s="10" customFormat="1" ht="146.25" x14ac:dyDescent="0.2">
      <c r="A19" s="47"/>
      <c r="B19" s="5" t="s">
        <v>22</v>
      </c>
      <c r="C19" s="4" t="s">
        <v>26</v>
      </c>
      <c r="D19" s="4" t="s">
        <v>71</v>
      </c>
      <c r="E19" s="4"/>
      <c r="F19" s="6">
        <v>1</v>
      </c>
      <c r="G19" s="14"/>
    </row>
    <row r="20" spans="1:10" s="10" customFormat="1" ht="56.25" x14ac:dyDescent="0.2">
      <c r="A20" s="47"/>
      <c r="B20" s="5" t="s">
        <v>22</v>
      </c>
      <c r="C20" s="4" t="s">
        <v>45</v>
      </c>
      <c r="D20" s="4" t="s">
        <v>72</v>
      </c>
      <c r="E20" s="4"/>
      <c r="F20" s="6">
        <v>3</v>
      </c>
      <c r="G20" s="14"/>
    </row>
    <row r="21" spans="1:10" s="10" customFormat="1" ht="46.5" customHeight="1" x14ac:dyDescent="0.2">
      <c r="A21" s="47"/>
      <c r="B21" s="5" t="s">
        <v>22</v>
      </c>
      <c r="C21" s="4" t="s">
        <v>26</v>
      </c>
      <c r="D21" s="5" t="s">
        <v>74</v>
      </c>
      <c r="E21" s="4"/>
      <c r="F21" s="6">
        <v>2.8</v>
      </c>
      <c r="G21" s="14"/>
    </row>
    <row r="22" spans="1:10" s="10" customFormat="1" ht="16.5" customHeight="1" x14ac:dyDescent="0.2">
      <c r="A22" s="47"/>
      <c r="B22" s="4"/>
      <c r="C22" s="4"/>
      <c r="D22" s="4"/>
      <c r="E22" s="4"/>
      <c r="F22" s="6"/>
      <c r="G22" s="14"/>
    </row>
    <row r="23" spans="1:10" s="10" customFormat="1" ht="11.25" x14ac:dyDescent="0.2">
      <c r="A23" s="31">
        <v>45798</v>
      </c>
      <c r="B23" s="34"/>
      <c r="C23" s="34"/>
      <c r="D23" s="34"/>
      <c r="E23" s="35" t="s">
        <v>11</v>
      </c>
      <c r="F23" s="18">
        <f>SUM(F18:F21)</f>
        <v>7</v>
      </c>
      <c r="G23" s="14"/>
    </row>
    <row r="24" spans="1:10" s="10" customFormat="1" ht="11.25" customHeight="1" x14ac:dyDescent="0.2">
      <c r="A24" s="47" t="s">
        <v>8</v>
      </c>
      <c r="B24" s="5" t="s">
        <v>22</v>
      </c>
      <c r="C24" s="5" t="s">
        <v>45</v>
      </c>
      <c r="D24" s="5" t="s">
        <v>63</v>
      </c>
      <c r="E24" s="4"/>
      <c r="F24" s="13">
        <v>0.2</v>
      </c>
      <c r="G24" s="14"/>
    </row>
    <row r="25" spans="1:10" s="10" customFormat="1" ht="33.75" x14ac:dyDescent="0.2">
      <c r="A25" s="47"/>
      <c r="B25" s="5" t="s">
        <v>22</v>
      </c>
      <c r="C25" s="4" t="s">
        <v>26</v>
      </c>
      <c r="D25" s="5" t="s">
        <v>73</v>
      </c>
      <c r="E25" s="4"/>
      <c r="F25" s="6">
        <v>1.3</v>
      </c>
      <c r="G25" s="14"/>
      <c r="J25" s="32"/>
    </row>
    <row r="26" spans="1:10" s="10" customFormat="1" ht="56.25" x14ac:dyDescent="0.2">
      <c r="A26" s="47"/>
      <c r="B26" s="5" t="s">
        <v>22</v>
      </c>
      <c r="C26" s="4" t="s">
        <v>28</v>
      </c>
      <c r="D26" s="4" t="s">
        <v>75</v>
      </c>
      <c r="E26" s="4"/>
      <c r="F26" s="6">
        <v>1</v>
      </c>
      <c r="G26" s="14"/>
      <c r="J26" s="32"/>
    </row>
    <row r="27" spans="1:10" s="10" customFormat="1" ht="33.75" x14ac:dyDescent="0.2">
      <c r="A27" s="47"/>
      <c r="B27" s="5" t="s">
        <v>22</v>
      </c>
      <c r="C27" s="4"/>
      <c r="D27" s="4" t="s">
        <v>76</v>
      </c>
      <c r="E27" s="4"/>
      <c r="F27" s="6">
        <v>0.5</v>
      </c>
      <c r="G27" s="14"/>
      <c r="J27" s="32"/>
    </row>
    <row r="28" spans="1:10" s="10" customFormat="1" ht="33.75" x14ac:dyDescent="0.2">
      <c r="A28" s="47"/>
      <c r="B28" s="5" t="s">
        <v>22</v>
      </c>
      <c r="C28" s="4" t="s">
        <v>28</v>
      </c>
      <c r="D28" s="4" t="s">
        <v>79</v>
      </c>
      <c r="E28" s="4" t="s">
        <v>77</v>
      </c>
      <c r="F28" s="6">
        <v>0.5</v>
      </c>
      <c r="G28" s="14"/>
      <c r="J28" s="32"/>
    </row>
    <row r="29" spans="1:10" s="10" customFormat="1" ht="45" x14ac:dyDescent="0.2">
      <c r="A29" s="47"/>
      <c r="B29" s="5" t="s">
        <v>22</v>
      </c>
      <c r="C29" s="4" t="s">
        <v>28</v>
      </c>
      <c r="D29" s="4" t="s">
        <v>78</v>
      </c>
      <c r="E29" s="4"/>
      <c r="F29" s="6">
        <v>3.5</v>
      </c>
      <c r="G29" s="14"/>
      <c r="J29" s="32"/>
    </row>
    <row r="30" spans="1:10" s="10" customFormat="1" ht="12" customHeight="1" x14ac:dyDescent="0.2">
      <c r="A30" s="47"/>
      <c r="B30" s="4"/>
      <c r="C30" s="4"/>
      <c r="D30" s="4"/>
      <c r="E30" s="4"/>
      <c r="F30" s="6"/>
      <c r="G30" s="14"/>
    </row>
    <row r="31" spans="1:10" s="10" customFormat="1" ht="11.25" x14ac:dyDescent="0.2">
      <c r="A31" s="31">
        <v>45799</v>
      </c>
      <c r="B31" s="34"/>
      <c r="C31" s="34"/>
      <c r="D31" s="34"/>
      <c r="E31" s="35" t="s">
        <v>11</v>
      </c>
      <c r="F31" s="18">
        <f>SUM(F24:F30)</f>
        <v>7</v>
      </c>
      <c r="G31" s="14"/>
    </row>
    <row r="32" spans="1:10" s="10" customFormat="1" ht="22.5" x14ac:dyDescent="0.2">
      <c r="A32" s="47" t="s">
        <v>9</v>
      </c>
      <c r="B32" s="5" t="s">
        <v>22</v>
      </c>
      <c r="C32" s="5" t="s">
        <v>45</v>
      </c>
      <c r="D32" s="5" t="s">
        <v>63</v>
      </c>
      <c r="E32" s="4"/>
      <c r="F32" s="13">
        <v>0.2</v>
      </c>
      <c r="G32" s="14"/>
    </row>
    <row r="33" spans="1:7" s="10" customFormat="1" ht="45" x14ac:dyDescent="0.2">
      <c r="A33" s="47"/>
      <c r="B33" s="5" t="s">
        <v>22</v>
      </c>
      <c r="C33" s="4"/>
      <c r="D33" s="4" t="s">
        <v>80</v>
      </c>
      <c r="E33" s="4"/>
      <c r="F33" s="6">
        <v>0.5</v>
      </c>
      <c r="G33" s="14"/>
    </row>
    <row r="34" spans="1:7" s="10" customFormat="1" ht="101.25" x14ac:dyDescent="0.2">
      <c r="A34" s="47"/>
      <c r="B34" s="5" t="s">
        <v>22</v>
      </c>
      <c r="C34" s="4" t="s">
        <v>28</v>
      </c>
      <c r="D34" s="4" t="s">
        <v>81</v>
      </c>
      <c r="E34" s="4" t="s">
        <v>82</v>
      </c>
      <c r="F34" s="6">
        <v>2.8</v>
      </c>
      <c r="G34" s="14"/>
    </row>
    <row r="35" spans="1:7" s="10" customFormat="1" ht="56.25" x14ac:dyDescent="0.2">
      <c r="A35" s="47"/>
      <c r="B35" s="5" t="s">
        <v>22</v>
      </c>
      <c r="C35" s="4" t="s">
        <v>28</v>
      </c>
      <c r="D35" s="4" t="s">
        <v>86</v>
      </c>
      <c r="E35" s="4" t="s">
        <v>83</v>
      </c>
      <c r="F35" s="6">
        <v>2</v>
      </c>
      <c r="G35" s="14"/>
    </row>
    <row r="36" spans="1:7" s="10" customFormat="1" ht="45" x14ac:dyDescent="0.2">
      <c r="A36" s="47"/>
      <c r="B36" s="5" t="s">
        <v>22</v>
      </c>
      <c r="C36" s="5" t="s">
        <v>45</v>
      </c>
      <c r="D36" s="4" t="s">
        <v>84</v>
      </c>
      <c r="E36" s="4"/>
      <c r="F36" s="6">
        <v>1</v>
      </c>
      <c r="G36" s="14"/>
    </row>
    <row r="37" spans="1:7" s="10" customFormat="1" ht="56.25" x14ac:dyDescent="0.2">
      <c r="A37" s="47"/>
      <c r="B37" s="5" t="s">
        <v>22</v>
      </c>
      <c r="C37" s="5" t="s">
        <v>26</v>
      </c>
      <c r="D37" s="4" t="s">
        <v>85</v>
      </c>
      <c r="E37" s="4"/>
      <c r="F37" s="6">
        <v>0.5</v>
      </c>
      <c r="G37" s="14"/>
    </row>
    <row r="38" spans="1:7" s="10" customFormat="1" ht="12" customHeight="1" x14ac:dyDescent="0.2">
      <c r="A38" s="47"/>
      <c r="B38" s="4"/>
      <c r="C38" s="4"/>
      <c r="D38" s="4"/>
      <c r="E38" s="4"/>
      <c r="F38" s="6"/>
      <c r="G38" s="14"/>
    </row>
    <row r="39" spans="1:7" s="10" customFormat="1" ht="12" customHeight="1" x14ac:dyDescent="0.2">
      <c r="A39" s="31">
        <v>45800</v>
      </c>
      <c r="B39" s="19"/>
      <c r="C39" s="19"/>
      <c r="D39" s="19"/>
      <c r="E39" s="20" t="s">
        <v>11</v>
      </c>
      <c r="F39" s="21">
        <f>SUM(F32:F38)</f>
        <v>7</v>
      </c>
      <c r="G39" s="14"/>
    </row>
    <row r="40" spans="1:7" s="10" customFormat="1" ht="15" customHeight="1" x14ac:dyDescent="0.2">
      <c r="A40" s="43" t="s">
        <v>10</v>
      </c>
      <c r="B40" s="43"/>
      <c r="C40" s="43"/>
      <c r="D40" s="43"/>
      <c r="E40" s="17"/>
      <c r="F40" s="17" t="s">
        <v>12</v>
      </c>
      <c r="G40" s="22">
        <f>F11+F17+F23+F31+F39</f>
        <v>35</v>
      </c>
    </row>
    <row r="41" spans="1:7" ht="45.75" customHeight="1" x14ac:dyDescent="0.25">
      <c r="A41" s="40" t="s">
        <v>87</v>
      </c>
      <c r="B41" s="41"/>
      <c r="C41" s="41"/>
      <c r="D41" s="41"/>
      <c r="E41" s="41"/>
      <c r="F41" s="41"/>
      <c r="G41" s="42"/>
    </row>
  </sheetData>
  <mergeCells count="12">
    <mergeCell ref="A41:G41"/>
    <mergeCell ref="E3:E4"/>
    <mergeCell ref="D3:D4"/>
    <mergeCell ref="B3:B4"/>
    <mergeCell ref="A3:A4"/>
    <mergeCell ref="C3:C4"/>
    <mergeCell ref="A5:A10"/>
    <mergeCell ref="A12:A16"/>
    <mergeCell ref="A18:A22"/>
    <mergeCell ref="A24:A30"/>
    <mergeCell ref="A32:A38"/>
    <mergeCell ref="A40:D40"/>
  </mergeCells>
  <conditionalFormatting sqref="F5:F39">
    <cfRule type="containsText" dxfId="23" priority="1" operator="containsText" text="Terminé">
      <formula>NOT(ISERROR(SEARCH("Terminé",F5)))</formula>
    </cfRule>
    <cfRule type="containsText" dxfId="22" priority="2" operator="containsText" text="En cours">
      <formula>NOT(ISERROR(SEARCH("En cours",F5)))</formula>
    </cfRule>
  </conditionalFormatting>
  <conditionalFormatting sqref="G40">
    <cfRule type="containsText" dxfId="21" priority="3" operator="containsText" text="Terminé">
      <formula>NOT(ISERROR(SEARCH("Terminé",G40)))</formula>
    </cfRule>
    <cfRule type="containsText" dxfId="20" priority="4" operator="containsText" text="En cours">
      <formula>NOT(ISERROR(SEARCH("En cours",G40)))</formula>
    </cfRule>
  </conditionalFormatting>
  <pageMargins left="0.7" right="0.7" top="0.75" bottom="0.75" header="0.3" footer="0.3"/>
  <pageSetup paperSize="9"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AD842-BAFE-408E-B382-9CD2E9A5A143}">
  <dimension ref="A1:G37"/>
  <sheetViews>
    <sheetView topLeftCell="A22" workbookViewId="0">
      <selection activeCell="B30" sqref="B30"/>
    </sheetView>
  </sheetViews>
  <sheetFormatPr baseColWidth="10" defaultRowHeight="15" x14ac:dyDescent="0.25"/>
  <cols>
    <col min="2" max="2" width="30.85546875" customWidth="1"/>
    <col min="3" max="3" width="9.5703125" customWidth="1"/>
    <col min="4" max="4" width="50.85546875" customWidth="1"/>
    <col min="5" max="5" width="30" hidden="1" customWidth="1"/>
  </cols>
  <sheetData>
    <row r="1" spans="1:7" x14ac:dyDescent="0.25">
      <c r="A1" s="2" t="s">
        <v>16</v>
      </c>
      <c r="B1" s="2"/>
      <c r="C1" s="2"/>
      <c r="D1" s="7" t="s">
        <v>14</v>
      </c>
      <c r="E1" s="2"/>
      <c r="F1" s="2"/>
      <c r="G1" s="3" t="s">
        <v>13</v>
      </c>
    </row>
    <row r="2" spans="1:7" x14ac:dyDescent="0.25">
      <c r="A2" s="2" t="s">
        <v>20</v>
      </c>
      <c r="B2" s="2"/>
      <c r="C2" s="2"/>
      <c r="D2" s="2"/>
      <c r="E2" s="2"/>
      <c r="F2" s="2"/>
      <c r="G2" s="2"/>
    </row>
    <row r="3" spans="1:7" x14ac:dyDescent="0.25">
      <c r="A3" s="43" t="s">
        <v>0</v>
      </c>
      <c r="B3" s="43" t="s">
        <v>1</v>
      </c>
      <c r="C3" s="44" t="s">
        <v>17</v>
      </c>
      <c r="D3" s="43" t="s">
        <v>18</v>
      </c>
      <c r="E3" s="45" t="s">
        <v>19</v>
      </c>
      <c r="F3" s="8" t="s">
        <v>2</v>
      </c>
      <c r="G3" s="9" t="s">
        <v>4</v>
      </c>
    </row>
    <row r="4" spans="1:7" x14ac:dyDescent="0.25">
      <c r="A4" s="43"/>
      <c r="B4" s="43"/>
      <c r="C4" s="44"/>
      <c r="D4" s="43"/>
      <c r="E4" s="45"/>
      <c r="F4" s="11" t="s">
        <v>3</v>
      </c>
      <c r="G4" s="12" t="s">
        <v>3</v>
      </c>
    </row>
    <row r="5" spans="1:7" x14ac:dyDescent="0.25">
      <c r="A5" s="46" t="s">
        <v>6</v>
      </c>
      <c r="B5" s="5" t="s">
        <v>22</v>
      </c>
      <c r="C5" s="5" t="s">
        <v>45</v>
      </c>
      <c r="D5" s="5" t="s">
        <v>63</v>
      </c>
      <c r="E5" s="4"/>
      <c r="F5" s="13">
        <v>0.2</v>
      </c>
      <c r="G5" s="14"/>
    </row>
    <row r="6" spans="1:7" ht="90" x14ac:dyDescent="0.25">
      <c r="A6" s="47"/>
      <c r="B6" s="5" t="s">
        <v>22</v>
      </c>
      <c r="C6" s="5" t="s">
        <v>28</v>
      </c>
      <c r="D6" s="5" t="s">
        <v>90</v>
      </c>
      <c r="E6" s="5" t="s">
        <v>89</v>
      </c>
      <c r="F6" s="13">
        <v>6.6</v>
      </c>
      <c r="G6" s="14"/>
    </row>
    <row r="7" spans="1:7" x14ac:dyDescent="0.25">
      <c r="A7" s="47"/>
      <c r="B7" s="5"/>
      <c r="C7" s="5"/>
      <c r="D7" s="5" t="s">
        <v>91</v>
      </c>
      <c r="E7" s="5"/>
      <c r="F7" s="13">
        <v>0.2</v>
      </c>
      <c r="G7" s="14"/>
    </row>
    <row r="8" spans="1:7" x14ac:dyDescent="0.25">
      <c r="A8" s="47"/>
      <c r="B8" s="5"/>
      <c r="C8" s="4"/>
      <c r="D8" s="4"/>
      <c r="E8" s="4"/>
      <c r="F8" s="6"/>
      <c r="G8" s="14"/>
    </row>
    <row r="9" spans="1:7" x14ac:dyDescent="0.25">
      <c r="A9" s="47"/>
      <c r="B9" s="4"/>
      <c r="C9" s="4"/>
      <c r="E9" s="4"/>
      <c r="F9" s="6"/>
      <c r="G9" s="14"/>
    </row>
    <row r="10" spans="1:7" x14ac:dyDescent="0.25">
      <c r="A10" s="47"/>
      <c r="B10" s="4"/>
      <c r="C10" s="4"/>
      <c r="D10" s="4"/>
      <c r="E10" s="4"/>
      <c r="F10" s="6"/>
      <c r="G10" s="14"/>
    </row>
    <row r="11" spans="1:7" x14ac:dyDescent="0.25">
      <c r="A11" s="31">
        <v>45803</v>
      </c>
      <c r="B11" s="16"/>
      <c r="C11" s="16"/>
      <c r="D11" s="16"/>
      <c r="E11" s="17" t="s">
        <v>11</v>
      </c>
      <c r="F11" s="18">
        <f>SUM(F5:F10)</f>
        <v>7</v>
      </c>
      <c r="G11" s="14"/>
    </row>
    <row r="12" spans="1:7" x14ac:dyDescent="0.25">
      <c r="A12" s="47" t="s">
        <v>5</v>
      </c>
      <c r="B12" s="5" t="s">
        <v>22</v>
      </c>
      <c r="C12" s="5" t="s">
        <v>45</v>
      </c>
      <c r="D12" s="5" t="s">
        <v>63</v>
      </c>
      <c r="E12" s="4"/>
      <c r="F12" s="13">
        <v>0.2</v>
      </c>
      <c r="G12" s="14"/>
    </row>
    <row r="13" spans="1:7" x14ac:dyDescent="0.25">
      <c r="A13" s="47"/>
      <c r="B13" s="4"/>
      <c r="C13" s="4"/>
      <c r="D13" s="5" t="s">
        <v>96</v>
      </c>
      <c r="E13" s="4" t="s">
        <v>92</v>
      </c>
      <c r="F13" s="6">
        <v>0.5</v>
      </c>
      <c r="G13" s="14"/>
    </row>
    <row r="14" spans="1:7" ht="67.5" x14ac:dyDescent="0.25">
      <c r="A14" s="47"/>
      <c r="B14" s="5" t="s">
        <v>22</v>
      </c>
      <c r="C14" s="5" t="s">
        <v>28</v>
      </c>
      <c r="D14" s="5" t="s">
        <v>93</v>
      </c>
      <c r="E14" s="4" t="s">
        <v>15</v>
      </c>
      <c r="F14" s="6">
        <v>2.8</v>
      </c>
      <c r="G14" s="14"/>
    </row>
    <row r="15" spans="1:7" x14ac:dyDescent="0.25">
      <c r="A15" s="47"/>
      <c r="B15" s="5" t="s">
        <v>22</v>
      </c>
      <c r="C15" s="5" t="s">
        <v>45</v>
      </c>
      <c r="D15" s="5" t="s">
        <v>94</v>
      </c>
      <c r="E15" s="4"/>
      <c r="F15" s="6">
        <v>1</v>
      </c>
      <c r="G15" s="14"/>
    </row>
    <row r="16" spans="1:7" ht="22.5" x14ac:dyDescent="0.25">
      <c r="A16" s="47"/>
      <c r="B16" s="5" t="s">
        <v>22</v>
      </c>
      <c r="C16" s="5" t="s">
        <v>28</v>
      </c>
      <c r="D16" s="5" t="s">
        <v>95</v>
      </c>
      <c r="E16" s="4"/>
      <c r="F16" s="6">
        <v>2.5</v>
      </c>
      <c r="G16" s="14"/>
    </row>
    <row r="17" spans="1:7" x14ac:dyDescent="0.25">
      <c r="A17" s="47"/>
      <c r="B17" s="4"/>
      <c r="C17" s="4"/>
      <c r="D17" s="4"/>
      <c r="E17" s="4"/>
      <c r="F17" s="6"/>
      <c r="G17" s="14"/>
    </row>
    <row r="18" spans="1:7" x14ac:dyDescent="0.25">
      <c r="A18" s="31">
        <v>45804</v>
      </c>
      <c r="B18" s="16"/>
      <c r="C18" s="16"/>
      <c r="D18" s="16"/>
      <c r="E18" s="17" t="s">
        <v>11</v>
      </c>
      <c r="F18" s="18">
        <f>SUM(F12:F17)</f>
        <v>7</v>
      </c>
      <c r="G18" s="14"/>
    </row>
    <row r="19" spans="1:7" x14ac:dyDescent="0.25">
      <c r="A19" s="47" t="s">
        <v>7</v>
      </c>
      <c r="B19" s="5" t="s">
        <v>22</v>
      </c>
      <c r="C19" s="5" t="s">
        <v>45</v>
      </c>
      <c r="D19" s="5" t="s">
        <v>63</v>
      </c>
      <c r="E19" s="4"/>
      <c r="F19" s="13">
        <v>0.2</v>
      </c>
      <c r="G19" s="14"/>
    </row>
    <row r="20" spans="1:7" x14ac:dyDescent="0.25">
      <c r="A20" s="47"/>
      <c r="B20" s="5" t="s">
        <v>22</v>
      </c>
      <c r="C20" s="4" t="s">
        <v>45</v>
      </c>
      <c r="D20" s="4" t="s">
        <v>94</v>
      </c>
      <c r="E20" s="4"/>
      <c r="F20" s="6">
        <v>1</v>
      </c>
      <c r="G20" s="14"/>
    </row>
    <row r="21" spans="1:7" ht="135" x14ac:dyDescent="0.25">
      <c r="A21" s="47"/>
      <c r="B21" s="5" t="s">
        <v>22</v>
      </c>
      <c r="C21" s="4" t="s">
        <v>97</v>
      </c>
      <c r="D21" s="4" t="s">
        <v>98</v>
      </c>
      <c r="E21" s="4" t="s">
        <v>99</v>
      </c>
      <c r="F21" s="6">
        <v>4.8</v>
      </c>
      <c r="G21" s="14"/>
    </row>
    <row r="22" spans="1:7" x14ac:dyDescent="0.25">
      <c r="A22" s="47"/>
      <c r="B22" s="4"/>
      <c r="C22" s="4"/>
      <c r="D22" s="4"/>
      <c r="E22" s="4"/>
      <c r="F22" s="6"/>
      <c r="G22" s="14"/>
    </row>
    <row r="23" spans="1:7" x14ac:dyDescent="0.25">
      <c r="A23" s="31">
        <v>45805</v>
      </c>
      <c r="B23" s="16"/>
      <c r="C23" s="16"/>
      <c r="D23" s="16"/>
      <c r="E23" s="17" t="s">
        <v>11</v>
      </c>
      <c r="F23" s="18">
        <f>SUM(F19:F22)</f>
        <v>6</v>
      </c>
      <c r="G23" s="14"/>
    </row>
    <row r="24" spans="1:7" x14ac:dyDescent="0.25">
      <c r="A24" s="47" t="s">
        <v>8</v>
      </c>
      <c r="B24" s="4" t="s">
        <v>88</v>
      </c>
      <c r="C24" s="4"/>
      <c r="D24" s="4"/>
      <c r="E24" s="4"/>
      <c r="F24" s="6"/>
      <c r="G24" s="14"/>
    </row>
    <row r="25" spans="1:7" x14ac:dyDescent="0.25">
      <c r="A25" s="47"/>
      <c r="B25" s="4"/>
      <c r="C25" s="4"/>
      <c r="D25" s="4"/>
      <c r="E25" s="4"/>
      <c r="F25" s="6"/>
      <c r="G25" s="14"/>
    </row>
    <row r="26" spans="1:7" x14ac:dyDescent="0.25">
      <c r="A26" s="47"/>
      <c r="B26" s="4"/>
      <c r="C26" s="4"/>
      <c r="D26" s="4"/>
      <c r="E26" s="4"/>
      <c r="F26" s="6"/>
      <c r="G26" s="14"/>
    </row>
    <row r="27" spans="1:7" x14ac:dyDescent="0.25">
      <c r="A27" s="47"/>
      <c r="B27" s="4"/>
      <c r="C27" s="4"/>
      <c r="D27" s="4"/>
      <c r="E27" s="4"/>
      <c r="F27" s="6"/>
      <c r="G27" s="14"/>
    </row>
    <row r="28" spans="1:7" x14ac:dyDescent="0.25">
      <c r="A28" s="31">
        <v>45806</v>
      </c>
      <c r="B28" s="16"/>
      <c r="C28" s="16"/>
      <c r="D28" s="16"/>
      <c r="E28" s="17" t="s">
        <v>11</v>
      </c>
      <c r="F28" s="18"/>
      <c r="G28" s="14"/>
    </row>
    <row r="29" spans="1:7" x14ac:dyDescent="0.25">
      <c r="A29" s="47" t="s">
        <v>9</v>
      </c>
      <c r="B29" s="5" t="s">
        <v>22</v>
      </c>
      <c r="C29" s="5" t="s">
        <v>45</v>
      </c>
      <c r="D29" s="5" t="s">
        <v>63</v>
      </c>
      <c r="E29" s="4"/>
      <c r="F29" s="13">
        <v>0.2</v>
      </c>
      <c r="G29" s="14"/>
    </row>
    <row r="30" spans="1:7" x14ac:dyDescent="0.25">
      <c r="A30" s="47"/>
      <c r="B30" s="5" t="s">
        <v>22</v>
      </c>
      <c r="C30" s="5" t="s">
        <v>45</v>
      </c>
      <c r="D30" s="4" t="s">
        <v>100</v>
      </c>
      <c r="E30" s="4"/>
      <c r="F30" s="6">
        <v>1.5</v>
      </c>
      <c r="G30" s="14"/>
    </row>
    <row r="31" spans="1:7" x14ac:dyDescent="0.25">
      <c r="A31" s="47"/>
      <c r="B31" s="5" t="s">
        <v>22</v>
      </c>
      <c r="C31" s="4" t="s">
        <v>45</v>
      </c>
      <c r="D31" s="4" t="s">
        <v>94</v>
      </c>
      <c r="E31" s="4"/>
      <c r="F31" s="6">
        <v>1.5</v>
      </c>
      <c r="G31" s="14"/>
    </row>
    <row r="32" spans="1:7" ht="22.5" x14ac:dyDescent="0.25">
      <c r="A32" s="47"/>
      <c r="B32" s="5" t="s">
        <v>22</v>
      </c>
      <c r="C32" s="4" t="s">
        <v>28</v>
      </c>
      <c r="D32" s="4" t="s">
        <v>102</v>
      </c>
      <c r="E32" s="4"/>
      <c r="F32" s="6">
        <v>1.5</v>
      </c>
      <c r="G32" s="14"/>
    </row>
    <row r="33" spans="1:7" x14ac:dyDescent="0.25">
      <c r="A33" s="47"/>
      <c r="B33" s="5" t="s">
        <v>22</v>
      </c>
      <c r="C33" s="4" t="s">
        <v>26</v>
      </c>
      <c r="D33" s="4" t="s">
        <v>101</v>
      </c>
      <c r="E33" s="4"/>
      <c r="F33" s="6">
        <v>2.2999999999999998</v>
      </c>
      <c r="G33" s="14"/>
    </row>
    <row r="34" spans="1:7" x14ac:dyDescent="0.25">
      <c r="A34" s="47"/>
      <c r="B34" s="4"/>
      <c r="C34" s="4"/>
      <c r="D34" s="4"/>
      <c r="E34" s="4"/>
      <c r="F34" s="6"/>
      <c r="G34" s="14"/>
    </row>
    <row r="35" spans="1:7" x14ac:dyDescent="0.25">
      <c r="A35" s="31">
        <v>45807</v>
      </c>
      <c r="B35" s="19"/>
      <c r="C35" s="19"/>
      <c r="D35" s="19"/>
      <c r="E35" s="20" t="s">
        <v>11</v>
      </c>
      <c r="F35" s="21">
        <f>SUM(F29:F34)</f>
        <v>7</v>
      </c>
      <c r="G35" s="14"/>
    </row>
    <row r="36" spans="1:7" x14ac:dyDescent="0.25">
      <c r="A36" s="43" t="s">
        <v>10</v>
      </c>
      <c r="B36" s="43"/>
      <c r="C36" s="43"/>
      <c r="D36" s="43"/>
      <c r="E36" s="17"/>
      <c r="F36" s="17" t="s">
        <v>12</v>
      </c>
      <c r="G36" s="22">
        <f>F11+F18+F23+F28+F35</f>
        <v>27</v>
      </c>
    </row>
    <row r="37" spans="1:7" x14ac:dyDescent="0.25">
      <c r="A37" s="40" t="s">
        <v>103</v>
      </c>
      <c r="B37" s="41"/>
      <c r="C37" s="41"/>
      <c r="D37" s="41"/>
      <c r="E37" s="41"/>
      <c r="F37" s="41"/>
      <c r="G37" s="42"/>
    </row>
  </sheetData>
  <mergeCells count="12">
    <mergeCell ref="A36:D36"/>
    <mergeCell ref="A37:G37"/>
    <mergeCell ref="A5:A10"/>
    <mergeCell ref="A12:A17"/>
    <mergeCell ref="A19:A22"/>
    <mergeCell ref="A24:A27"/>
    <mergeCell ref="A29:A34"/>
    <mergeCell ref="A3:A4"/>
    <mergeCell ref="B3:B4"/>
    <mergeCell ref="C3:C4"/>
    <mergeCell ref="D3:D4"/>
    <mergeCell ref="E3:E4"/>
  </mergeCells>
  <conditionalFormatting sqref="F5:F35">
    <cfRule type="containsText" dxfId="19" priority="1" operator="containsText" text="Terminé">
      <formula>NOT(ISERROR(SEARCH("Terminé",F5)))</formula>
    </cfRule>
    <cfRule type="containsText" dxfId="18" priority="2" operator="containsText" text="En cours">
      <formula>NOT(ISERROR(SEARCH("En cours",F5)))</formula>
    </cfRule>
  </conditionalFormatting>
  <conditionalFormatting sqref="G36">
    <cfRule type="containsText" dxfId="17" priority="5" operator="containsText" text="Terminé">
      <formula>NOT(ISERROR(SEARCH("Terminé",G36)))</formula>
    </cfRule>
    <cfRule type="containsText" dxfId="16" priority="6" operator="containsText" text="En cours">
      <formula>NOT(ISERROR(SEARCH("En cours",G36)))</formula>
    </cfRule>
  </conditionalFormatting>
  <pageMargins left="0.7" right="0.7"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6B4F0-C010-4227-8EB6-DF6ED7F8BE79}">
  <dimension ref="A1:G36"/>
  <sheetViews>
    <sheetView tabSelected="1" workbookViewId="0">
      <selection activeCell="D16" sqref="D16"/>
    </sheetView>
  </sheetViews>
  <sheetFormatPr baseColWidth="10" defaultRowHeight="15" x14ac:dyDescent="0.25"/>
  <cols>
    <col min="4" max="4" width="48.42578125" customWidth="1"/>
    <col min="5" max="5" width="46.5703125" customWidth="1"/>
  </cols>
  <sheetData>
    <row r="1" spans="1:7" x14ac:dyDescent="0.25">
      <c r="A1" s="2" t="s">
        <v>16</v>
      </c>
      <c r="B1" s="2"/>
      <c r="C1" s="2"/>
      <c r="D1" s="7" t="s">
        <v>14</v>
      </c>
      <c r="E1" s="2"/>
      <c r="F1" s="2"/>
      <c r="G1" s="3" t="s">
        <v>13</v>
      </c>
    </row>
    <row r="2" spans="1:7" x14ac:dyDescent="0.25">
      <c r="A2" s="2" t="s">
        <v>20</v>
      </c>
      <c r="B2" s="2"/>
      <c r="C2" s="2"/>
      <c r="D2" s="2"/>
      <c r="E2" s="2"/>
      <c r="F2" s="2"/>
      <c r="G2" s="2"/>
    </row>
    <row r="3" spans="1:7" x14ac:dyDescent="0.25">
      <c r="A3" s="43" t="s">
        <v>0</v>
      </c>
      <c r="B3" s="43" t="s">
        <v>1</v>
      </c>
      <c r="C3" s="44" t="s">
        <v>17</v>
      </c>
      <c r="D3" s="43" t="s">
        <v>18</v>
      </c>
      <c r="E3" s="45" t="s">
        <v>19</v>
      </c>
      <c r="F3" s="8" t="s">
        <v>2</v>
      </c>
      <c r="G3" s="9" t="s">
        <v>4</v>
      </c>
    </row>
    <row r="4" spans="1:7" x14ac:dyDescent="0.25">
      <c r="A4" s="43"/>
      <c r="B4" s="43"/>
      <c r="C4" s="44"/>
      <c r="D4" s="43"/>
      <c r="E4" s="45"/>
      <c r="F4" s="11" t="s">
        <v>3</v>
      </c>
      <c r="G4" s="12" t="s">
        <v>3</v>
      </c>
    </row>
    <row r="5" spans="1:7" ht="45" x14ac:dyDescent="0.25">
      <c r="A5" s="46" t="s">
        <v>6</v>
      </c>
      <c r="B5" s="5" t="s">
        <v>22</v>
      </c>
      <c r="C5" s="5" t="s">
        <v>26</v>
      </c>
      <c r="D5" s="5" t="s">
        <v>104</v>
      </c>
      <c r="E5" s="4"/>
      <c r="F5" s="13">
        <v>1</v>
      </c>
      <c r="G5" s="14"/>
    </row>
    <row r="6" spans="1:7" ht="45" x14ac:dyDescent="0.25">
      <c r="A6" s="47"/>
      <c r="B6" s="5" t="s">
        <v>22</v>
      </c>
      <c r="C6" s="5" t="s">
        <v>28</v>
      </c>
      <c r="D6" s="5" t="s">
        <v>105</v>
      </c>
      <c r="E6" s="5" t="s">
        <v>106</v>
      </c>
      <c r="F6" s="13">
        <v>4.3</v>
      </c>
      <c r="G6" s="14"/>
    </row>
    <row r="7" spans="1:7" ht="45" x14ac:dyDescent="0.25">
      <c r="A7" s="47"/>
      <c r="B7" s="5" t="s">
        <v>22</v>
      </c>
      <c r="C7" s="5" t="s">
        <v>28</v>
      </c>
      <c r="D7" s="5" t="s">
        <v>109</v>
      </c>
      <c r="E7" s="5"/>
      <c r="F7" s="13">
        <v>1.5</v>
      </c>
      <c r="G7" s="14"/>
    </row>
    <row r="8" spans="1:7" ht="45" x14ac:dyDescent="0.25">
      <c r="A8" s="47"/>
      <c r="B8" s="5" t="s">
        <v>22</v>
      </c>
      <c r="C8" s="4" t="s">
        <v>45</v>
      </c>
      <c r="D8" s="4" t="s">
        <v>107</v>
      </c>
      <c r="E8" s="4"/>
      <c r="F8" s="6">
        <v>0.2</v>
      </c>
      <c r="G8" s="14"/>
    </row>
    <row r="9" spans="1:7" x14ac:dyDescent="0.25">
      <c r="A9" s="47"/>
      <c r="B9" s="4"/>
      <c r="C9" s="4"/>
      <c r="D9" s="4"/>
      <c r="E9" s="4"/>
      <c r="F9" s="6"/>
      <c r="G9" s="14"/>
    </row>
    <row r="10" spans="1:7" x14ac:dyDescent="0.25">
      <c r="A10" s="47"/>
      <c r="B10" s="4"/>
      <c r="C10" s="4"/>
      <c r="D10" s="4"/>
      <c r="E10" s="4"/>
      <c r="F10" s="6"/>
      <c r="G10" s="14"/>
    </row>
    <row r="11" spans="1:7" x14ac:dyDescent="0.25">
      <c r="A11" s="31">
        <v>45810</v>
      </c>
      <c r="B11" s="16"/>
      <c r="C11" s="16"/>
      <c r="D11" s="16"/>
      <c r="E11" s="17" t="s">
        <v>11</v>
      </c>
      <c r="F11" s="18">
        <f>SUM(F5:F10)</f>
        <v>7</v>
      </c>
      <c r="G11" s="14"/>
    </row>
    <row r="12" spans="1:7" x14ac:dyDescent="0.25">
      <c r="A12" s="47" t="s">
        <v>5</v>
      </c>
      <c r="B12" s="4"/>
      <c r="C12" s="4"/>
      <c r="D12" s="4" t="s">
        <v>108</v>
      </c>
      <c r="E12" s="4"/>
      <c r="F12" s="6">
        <v>0.2</v>
      </c>
      <c r="G12" s="14"/>
    </row>
    <row r="13" spans="1:7" ht="45" x14ac:dyDescent="0.25">
      <c r="A13" s="47"/>
      <c r="B13" s="5" t="s">
        <v>22</v>
      </c>
      <c r="C13" s="4" t="s">
        <v>45</v>
      </c>
      <c r="D13" s="4" t="s">
        <v>107</v>
      </c>
      <c r="E13" s="4"/>
      <c r="F13" s="6">
        <v>0.2</v>
      </c>
      <c r="G13" s="14"/>
    </row>
    <row r="14" spans="1:7" ht="45" x14ac:dyDescent="0.25">
      <c r="A14" s="47"/>
      <c r="B14" s="5" t="s">
        <v>22</v>
      </c>
      <c r="C14" s="4" t="s">
        <v>28</v>
      </c>
      <c r="D14" s="4"/>
      <c r="E14" s="4"/>
      <c r="F14" s="6">
        <v>1.5</v>
      </c>
      <c r="G14" s="14"/>
    </row>
    <row r="15" spans="1:7" ht="45" x14ac:dyDescent="0.25">
      <c r="A15" s="47"/>
      <c r="B15" s="5" t="s">
        <v>22</v>
      </c>
      <c r="C15" s="4" t="s">
        <v>26</v>
      </c>
      <c r="D15" s="4"/>
      <c r="E15" s="4"/>
      <c r="F15" s="6">
        <v>3.6</v>
      </c>
      <c r="G15" s="14"/>
    </row>
    <row r="16" spans="1:7" ht="45" x14ac:dyDescent="0.25">
      <c r="A16" s="47"/>
      <c r="B16" s="5" t="s">
        <v>22</v>
      </c>
      <c r="C16" s="4" t="s">
        <v>45</v>
      </c>
      <c r="D16" s="4" t="s">
        <v>94</v>
      </c>
      <c r="E16" s="4"/>
      <c r="F16" s="6">
        <v>1.5</v>
      </c>
      <c r="G16" s="14"/>
    </row>
    <row r="17" spans="1:7" x14ac:dyDescent="0.25">
      <c r="A17" s="47"/>
      <c r="B17" s="5"/>
      <c r="C17" s="4"/>
      <c r="D17" s="4"/>
      <c r="E17" s="4"/>
      <c r="F17" s="6"/>
      <c r="G17" s="14"/>
    </row>
    <row r="18" spans="1:7" x14ac:dyDescent="0.25">
      <c r="A18" s="47"/>
      <c r="B18" s="4"/>
      <c r="C18" s="4"/>
      <c r="D18" s="4"/>
      <c r="E18" s="4"/>
      <c r="F18" s="6"/>
      <c r="G18" s="14"/>
    </row>
    <row r="19" spans="1:7" x14ac:dyDescent="0.25">
      <c r="A19" s="31">
        <v>45811</v>
      </c>
      <c r="B19" s="16"/>
      <c r="C19" s="16"/>
      <c r="D19" s="16"/>
      <c r="E19" s="17" t="s">
        <v>11</v>
      </c>
      <c r="F19" s="18">
        <f>SUM(F12:F18)</f>
        <v>7</v>
      </c>
      <c r="G19" s="14"/>
    </row>
    <row r="20" spans="1:7" x14ac:dyDescent="0.25">
      <c r="A20" s="47" t="s">
        <v>7</v>
      </c>
      <c r="B20" s="4"/>
      <c r="C20" s="4"/>
      <c r="D20" s="4"/>
      <c r="E20" s="4"/>
      <c r="F20" s="6"/>
      <c r="G20" s="14"/>
    </row>
    <row r="21" spans="1:7" x14ac:dyDescent="0.25">
      <c r="A21" s="47"/>
      <c r="B21" s="4"/>
      <c r="C21" s="4"/>
      <c r="D21" s="4"/>
      <c r="E21" s="4"/>
      <c r="F21" s="6"/>
      <c r="G21" s="14"/>
    </row>
    <row r="22" spans="1:7" x14ac:dyDescent="0.25">
      <c r="A22" s="47"/>
      <c r="B22" s="4"/>
      <c r="C22" s="4"/>
      <c r="D22" s="4"/>
      <c r="E22" s="4"/>
      <c r="F22" s="6"/>
      <c r="G22" s="14"/>
    </row>
    <row r="23" spans="1:7" x14ac:dyDescent="0.25">
      <c r="A23" s="47"/>
      <c r="B23" s="4"/>
      <c r="C23" s="4"/>
      <c r="D23" s="4"/>
      <c r="E23" s="4"/>
      <c r="F23" s="6"/>
      <c r="G23" s="14"/>
    </row>
    <row r="24" spans="1:7" x14ac:dyDescent="0.25">
      <c r="A24" s="31">
        <v>45812</v>
      </c>
      <c r="B24" s="16"/>
      <c r="C24" s="16"/>
      <c r="D24" s="16"/>
      <c r="E24" s="17" t="s">
        <v>11</v>
      </c>
      <c r="F24" s="18">
        <f>SUM(F20:F23)</f>
        <v>0</v>
      </c>
      <c r="G24" s="14"/>
    </row>
    <row r="25" spans="1:7" x14ac:dyDescent="0.25">
      <c r="A25" s="47" t="s">
        <v>8</v>
      </c>
      <c r="B25" s="4"/>
      <c r="C25" s="4"/>
      <c r="D25" s="4"/>
      <c r="E25" s="4"/>
      <c r="F25" s="6"/>
      <c r="G25" s="14"/>
    </row>
    <row r="26" spans="1:7" x14ac:dyDescent="0.25">
      <c r="A26" s="47"/>
      <c r="B26" s="4"/>
      <c r="C26" s="4"/>
      <c r="D26" s="4"/>
      <c r="E26" s="4"/>
      <c r="F26" s="6"/>
      <c r="G26" s="14"/>
    </row>
    <row r="27" spans="1:7" x14ac:dyDescent="0.25">
      <c r="A27" s="47"/>
      <c r="B27" s="4"/>
      <c r="C27" s="4"/>
      <c r="D27" s="4"/>
      <c r="E27" s="4"/>
      <c r="F27" s="6"/>
      <c r="G27" s="14"/>
    </row>
    <row r="28" spans="1:7" x14ac:dyDescent="0.25">
      <c r="A28" s="47"/>
      <c r="B28" s="4"/>
      <c r="C28" s="4"/>
      <c r="D28" s="4"/>
      <c r="E28" s="4"/>
      <c r="F28" s="6"/>
      <c r="G28" s="14"/>
    </row>
    <row r="29" spans="1:7" x14ac:dyDescent="0.25">
      <c r="A29" s="31">
        <v>45694</v>
      </c>
      <c r="B29" s="16"/>
      <c r="C29" s="16"/>
      <c r="D29" s="16"/>
      <c r="E29" s="17" t="s">
        <v>11</v>
      </c>
      <c r="F29" s="18">
        <f>SUM(F25:F28)</f>
        <v>0</v>
      </c>
      <c r="G29" s="14"/>
    </row>
    <row r="30" spans="1:7" x14ac:dyDescent="0.25">
      <c r="A30" s="47" t="s">
        <v>9</v>
      </c>
      <c r="B30" s="4"/>
      <c r="C30" s="4"/>
      <c r="D30" s="4"/>
      <c r="E30" s="4"/>
      <c r="F30" s="6"/>
      <c r="G30" s="14"/>
    </row>
    <row r="31" spans="1:7" x14ac:dyDescent="0.25">
      <c r="A31" s="47"/>
      <c r="B31" s="4"/>
      <c r="C31" s="4"/>
      <c r="D31" s="4"/>
      <c r="E31" s="4"/>
      <c r="F31" s="6"/>
      <c r="G31" s="14"/>
    </row>
    <row r="32" spans="1:7" x14ac:dyDescent="0.25">
      <c r="A32" s="47"/>
      <c r="B32" s="4"/>
      <c r="C32" s="4"/>
      <c r="D32" s="4"/>
      <c r="E32" s="4"/>
      <c r="F32" s="6"/>
      <c r="G32" s="14"/>
    </row>
    <row r="33" spans="1:7" x14ac:dyDescent="0.25">
      <c r="A33" s="47"/>
      <c r="B33" s="4"/>
      <c r="C33" s="4"/>
      <c r="D33" s="4"/>
      <c r="E33" s="4"/>
      <c r="F33" s="6"/>
      <c r="G33" s="14"/>
    </row>
    <row r="34" spans="1:7" x14ac:dyDescent="0.25">
      <c r="A34" s="31">
        <v>45694</v>
      </c>
      <c r="B34" s="19"/>
      <c r="C34" s="19"/>
      <c r="D34" s="19"/>
      <c r="E34" s="20" t="s">
        <v>11</v>
      </c>
      <c r="F34" s="21">
        <f>SUM(F30:F33)</f>
        <v>0</v>
      </c>
      <c r="G34" s="14"/>
    </row>
    <row r="35" spans="1:7" x14ac:dyDescent="0.25">
      <c r="A35" s="43" t="s">
        <v>10</v>
      </c>
      <c r="B35" s="43"/>
      <c r="C35" s="43"/>
      <c r="D35" s="43"/>
      <c r="E35" s="17"/>
      <c r="F35" s="17" t="s">
        <v>12</v>
      </c>
      <c r="G35" s="22">
        <f>F11+F19+F24+F29+F34</f>
        <v>14</v>
      </c>
    </row>
    <row r="36" spans="1:7" x14ac:dyDescent="0.25">
      <c r="A36" s="40" t="s">
        <v>15</v>
      </c>
      <c r="B36" s="41"/>
      <c r="C36" s="41"/>
      <c r="D36" s="41"/>
      <c r="E36" s="41"/>
      <c r="F36" s="41"/>
      <c r="G36" s="42"/>
    </row>
  </sheetData>
  <mergeCells count="12">
    <mergeCell ref="A35:D35"/>
    <mergeCell ref="A36:G36"/>
    <mergeCell ref="A5:A10"/>
    <mergeCell ref="A12:A18"/>
    <mergeCell ref="A20:A23"/>
    <mergeCell ref="A25:A28"/>
    <mergeCell ref="A30:A33"/>
    <mergeCell ref="A3:A4"/>
    <mergeCell ref="B3:B4"/>
    <mergeCell ref="C3:C4"/>
    <mergeCell ref="D3:D4"/>
    <mergeCell ref="E3:E4"/>
  </mergeCells>
  <conditionalFormatting sqref="F5:F34">
    <cfRule type="containsText" dxfId="15" priority="1" operator="containsText" text="Terminé">
      <formula>NOT(ISERROR(SEARCH("Terminé",F5)))</formula>
    </cfRule>
    <cfRule type="containsText" dxfId="14" priority="2" operator="containsText" text="En cours">
      <formula>NOT(ISERROR(SEARCH("En cours",F5)))</formula>
    </cfRule>
  </conditionalFormatting>
  <conditionalFormatting sqref="G35">
    <cfRule type="containsText" dxfId="13" priority="3" operator="containsText" text="Terminé">
      <formula>NOT(ISERROR(SEARCH("Terminé",G35)))</formula>
    </cfRule>
    <cfRule type="containsText" dxfId="12" priority="4" operator="containsText" text="En cours">
      <formula>NOT(ISERROR(SEARCH("En cours",G35)))</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F9FCC-46B6-4597-9B07-8BC921980D7F}">
  <dimension ref="A1:G33"/>
  <sheetViews>
    <sheetView workbookViewId="0">
      <selection sqref="A1:G33"/>
    </sheetView>
  </sheetViews>
  <sheetFormatPr baseColWidth="10" defaultRowHeight="15" x14ac:dyDescent="0.25"/>
  <cols>
    <col min="4" max="4" width="50" customWidth="1"/>
    <col min="5" max="5" width="54.7109375" customWidth="1"/>
  </cols>
  <sheetData>
    <row r="1" spans="1:7" x14ac:dyDescent="0.25">
      <c r="A1" s="2" t="s">
        <v>16</v>
      </c>
      <c r="B1" s="2"/>
      <c r="C1" s="2"/>
      <c r="D1" s="7" t="s">
        <v>14</v>
      </c>
      <c r="E1" s="2"/>
      <c r="F1" s="2"/>
      <c r="G1" s="3" t="s">
        <v>13</v>
      </c>
    </row>
    <row r="2" spans="1:7" x14ac:dyDescent="0.25">
      <c r="A2" s="2" t="s">
        <v>20</v>
      </c>
      <c r="B2" s="2"/>
      <c r="C2" s="2"/>
      <c r="D2" s="2"/>
      <c r="E2" s="2"/>
      <c r="F2" s="2"/>
      <c r="G2" s="2"/>
    </row>
    <row r="3" spans="1:7" x14ac:dyDescent="0.25">
      <c r="A3" s="43" t="s">
        <v>0</v>
      </c>
      <c r="B3" s="43" t="s">
        <v>1</v>
      </c>
      <c r="C3" s="44" t="s">
        <v>17</v>
      </c>
      <c r="D3" s="43" t="s">
        <v>18</v>
      </c>
      <c r="E3" s="45" t="s">
        <v>19</v>
      </c>
      <c r="F3" s="8" t="s">
        <v>2</v>
      </c>
      <c r="G3" s="9" t="s">
        <v>4</v>
      </c>
    </row>
    <row r="4" spans="1:7" x14ac:dyDescent="0.25">
      <c r="A4" s="43"/>
      <c r="B4" s="43"/>
      <c r="C4" s="44"/>
      <c r="D4" s="43"/>
      <c r="E4" s="45"/>
      <c r="F4" s="11" t="s">
        <v>3</v>
      </c>
      <c r="G4" s="12" t="s">
        <v>3</v>
      </c>
    </row>
    <row r="5" spans="1:7" x14ac:dyDescent="0.25">
      <c r="A5" s="46" t="s">
        <v>6</v>
      </c>
      <c r="B5" s="5"/>
      <c r="C5" s="5"/>
      <c r="D5" s="5"/>
      <c r="E5" s="4"/>
      <c r="F5" s="13"/>
      <c r="G5" s="14"/>
    </row>
    <row r="6" spans="1:7" x14ac:dyDescent="0.25">
      <c r="A6" s="47"/>
      <c r="B6" s="5"/>
      <c r="C6" s="5"/>
      <c r="D6" s="5"/>
      <c r="E6" s="5"/>
      <c r="F6" s="13"/>
      <c r="G6" s="14"/>
    </row>
    <row r="7" spans="1:7" x14ac:dyDescent="0.25">
      <c r="A7" s="47"/>
      <c r="B7" s="5"/>
      <c r="C7" s="5"/>
      <c r="D7" s="5"/>
      <c r="E7" s="5"/>
      <c r="F7" s="13"/>
      <c r="G7" s="14"/>
    </row>
    <row r="8" spans="1:7" x14ac:dyDescent="0.25">
      <c r="A8" s="47"/>
      <c r="B8" s="5"/>
      <c r="C8" s="4"/>
      <c r="D8" s="4"/>
      <c r="E8" s="4"/>
      <c r="F8" s="6"/>
      <c r="G8" s="14"/>
    </row>
    <row r="9" spans="1:7" x14ac:dyDescent="0.25">
      <c r="A9" s="47"/>
      <c r="B9" s="4"/>
      <c r="C9" s="4"/>
      <c r="D9" s="4"/>
      <c r="E9" s="4"/>
      <c r="F9" s="6"/>
      <c r="G9" s="14"/>
    </row>
    <row r="10" spans="1:7" x14ac:dyDescent="0.25">
      <c r="A10" s="47"/>
      <c r="B10" s="4"/>
      <c r="C10" s="4"/>
      <c r="D10" s="4"/>
      <c r="E10" s="4"/>
      <c r="F10" s="6"/>
      <c r="G10" s="14"/>
    </row>
    <row r="11" spans="1:7" x14ac:dyDescent="0.25">
      <c r="A11" s="15" t="s">
        <v>21</v>
      </c>
      <c r="B11" s="16"/>
      <c r="C11" s="16"/>
      <c r="D11" s="16"/>
      <c r="E11" s="17" t="s">
        <v>11</v>
      </c>
      <c r="F11" s="18">
        <f>SUM(F5:F10)</f>
        <v>0</v>
      </c>
      <c r="G11" s="14"/>
    </row>
    <row r="12" spans="1:7" x14ac:dyDescent="0.25">
      <c r="A12" s="47" t="s">
        <v>5</v>
      </c>
      <c r="B12" s="4"/>
      <c r="C12" s="4"/>
      <c r="D12" s="4"/>
      <c r="E12" s="4"/>
      <c r="F12" s="6"/>
      <c r="G12" s="14"/>
    </row>
    <row r="13" spans="1:7" x14ac:dyDescent="0.25">
      <c r="A13" s="47"/>
      <c r="B13" s="4"/>
      <c r="C13" s="4"/>
      <c r="D13" s="4"/>
      <c r="E13" s="4"/>
      <c r="F13" s="6"/>
      <c r="G13" s="14"/>
    </row>
    <row r="14" spans="1:7" x14ac:dyDescent="0.25">
      <c r="A14" s="47"/>
      <c r="B14" s="4"/>
      <c r="C14" s="4"/>
      <c r="D14" s="4"/>
      <c r="E14" s="4"/>
      <c r="F14" s="6"/>
      <c r="G14" s="14"/>
    </row>
    <row r="15" spans="1:7" x14ac:dyDescent="0.25">
      <c r="A15" s="47"/>
      <c r="B15" s="4"/>
      <c r="C15" s="4"/>
      <c r="D15" s="4"/>
      <c r="E15" s="4"/>
      <c r="F15" s="6"/>
      <c r="G15" s="14"/>
    </row>
    <row r="16" spans="1:7" x14ac:dyDescent="0.25">
      <c r="A16" s="31">
        <v>45301</v>
      </c>
      <c r="B16" s="16"/>
      <c r="C16" s="16"/>
      <c r="D16" s="16"/>
      <c r="E16" s="17" t="s">
        <v>11</v>
      </c>
      <c r="F16" s="18">
        <f>SUM(F12:F15)</f>
        <v>0</v>
      </c>
      <c r="G16" s="14"/>
    </row>
    <row r="17" spans="1:7" x14ac:dyDescent="0.25">
      <c r="A17" s="47" t="s">
        <v>7</v>
      </c>
      <c r="B17" s="4"/>
      <c r="C17" s="4"/>
      <c r="D17" s="4"/>
      <c r="E17" s="4"/>
      <c r="F17" s="6"/>
      <c r="G17" s="14"/>
    </row>
    <row r="18" spans="1:7" x14ac:dyDescent="0.25">
      <c r="A18" s="47"/>
      <c r="B18" s="4"/>
      <c r="C18" s="4"/>
      <c r="D18" s="4"/>
      <c r="E18" s="4"/>
      <c r="F18" s="6"/>
      <c r="G18" s="14"/>
    </row>
    <row r="19" spans="1:7" x14ac:dyDescent="0.25">
      <c r="A19" s="47"/>
      <c r="B19" s="4"/>
      <c r="C19" s="4"/>
      <c r="D19" s="4"/>
      <c r="E19" s="4"/>
      <c r="F19" s="6"/>
      <c r="G19" s="14"/>
    </row>
    <row r="20" spans="1:7" x14ac:dyDescent="0.25">
      <c r="A20" s="47"/>
      <c r="B20" s="4"/>
      <c r="C20" s="4"/>
      <c r="D20" s="4"/>
      <c r="E20" s="4"/>
      <c r="F20" s="6"/>
      <c r="G20" s="14"/>
    </row>
    <row r="21" spans="1:7" x14ac:dyDescent="0.25">
      <c r="A21" s="31">
        <v>45332</v>
      </c>
      <c r="B21" s="16"/>
      <c r="C21" s="16"/>
      <c r="D21" s="16"/>
      <c r="E21" s="17" t="s">
        <v>11</v>
      </c>
      <c r="F21" s="18">
        <f>SUM(F17:F20)</f>
        <v>0</v>
      </c>
      <c r="G21" s="14"/>
    </row>
    <row r="22" spans="1:7" x14ac:dyDescent="0.25">
      <c r="A22" s="47" t="s">
        <v>8</v>
      </c>
      <c r="B22" s="4"/>
      <c r="C22" s="4"/>
      <c r="D22" s="4"/>
      <c r="E22" s="4"/>
      <c r="F22" s="6"/>
      <c r="G22" s="14"/>
    </row>
    <row r="23" spans="1:7" x14ac:dyDescent="0.25">
      <c r="A23" s="47"/>
      <c r="B23" s="4"/>
      <c r="C23" s="4"/>
      <c r="D23" s="4"/>
      <c r="E23" s="4"/>
      <c r="F23" s="6"/>
      <c r="G23" s="14"/>
    </row>
    <row r="24" spans="1:7" x14ac:dyDescent="0.25">
      <c r="A24" s="47"/>
      <c r="B24" s="4"/>
      <c r="C24" s="4"/>
      <c r="D24" s="4"/>
      <c r="E24" s="4"/>
      <c r="F24" s="6"/>
      <c r="G24" s="14"/>
    </row>
    <row r="25" spans="1:7" x14ac:dyDescent="0.25">
      <c r="A25" s="47"/>
      <c r="B25" s="4"/>
      <c r="C25" s="4"/>
      <c r="D25" s="4"/>
      <c r="E25" s="4"/>
      <c r="F25" s="6"/>
      <c r="G25" s="14"/>
    </row>
    <row r="26" spans="1:7" x14ac:dyDescent="0.25">
      <c r="A26" s="31">
        <v>45361</v>
      </c>
      <c r="B26" s="16"/>
      <c r="C26" s="16"/>
      <c r="D26" s="16"/>
      <c r="E26" s="17" t="s">
        <v>11</v>
      </c>
      <c r="F26" s="18">
        <f>SUM(F22:F25)</f>
        <v>0</v>
      </c>
      <c r="G26" s="14"/>
    </row>
    <row r="27" spans="1:7" x14ac:dyDescent="0.25">
      <c r="A27" s="47" t="s">
        <v>9</v>
      </c>
      <c r="B27" s="4"/>
      <c r="C27" s="4"/>
      <c r="D27" s="4"/>
      <c r="E27" s="4"/>
      <c r="F27" s="6"/>
      <c r="G27" s="14"/>
    </row>
    <row r="28" spans="1:7" x14ac:dyDescent="0.25">
      <c r="A28" s="47"/>
      <c r="B28" s="4"/>
      <c r="C28" s="4"/>
      <c r="D28" s="4"/>
      <c r="E28" s="4"/>
      <c r="F28" s="6"/>
      <c r="G28" s="14"/>
    </row>
    <row r="29" spans="1:7" x14ac:dyDescent="0.25">
      <c r="A29" s="47"/>
      <c r="B29" s="4"/>
      <c r="C29" s="4"/>
      <c r="D29" s="4"/>
      <c r="E29" s="4"/>
      <c r="F29" s="6"/>
      <c r="G29" s="14"/>
    </row>
    <row r="30" spans="1:7" x14ac:dyDescent="0.25">
      <c r="A30" s="47"/>
      <c r="B30" s="4"/>
      <c r="C30" s="4"/>
      <c r="D30" s="4"/>
      <c r="E30" s="4"/>
      <c r="F30" s="6"/>
      <c r="G30" s="14"/>
    </row>
    <row r="31" spans="1:7" x14ac:dyDescent="0.25">
      <c r="A31" s="31">
        <v>45392</v>
      </c>
      <c r="B31" s="19"/>
      <c r="C31" s="19"/>
      <c r="D31" s="19"/>
      <c r="E31" s="20" t="s">
        <v>11</v>
      </c>
      <c r="F31" s="21">
        <f>SUM(F27:F30)</f>
        <v>0</v>
      </c>
      <c r="G31" s="14"/>
    </row>
    <row r="32" spans="1:7" x14ac:dyDescent="0.25">
      <c r="A32" s="43" t="s">
        <v>10</v>
      </c>
      <c r="B32" s="43"/>
      <c r="C32" s="43"/>
      <c r="D32" s="43"/>
      <c r="E32" s="17"/>
      <c r="F32" s="17" t="s">
        <v>12</v>
      </c>
      <c r="G32" s="22">
        <f>F11+F16+F21+F26+F31</f>
        <v>0</v>
      </c>
    </row>
    <row r="33" spans="1:7" x14ac:dyDescent="0.25">
      <c r="A33" s="40" t="s">
        <v>15</v>
      </c>
      <c r="B33" s="41"/>
      <c r="C33" s="41"/>
      <c r="D33" s="41"/>
      <c r="E33" s="41"/>
      <c r="F33" s="41"/>
      <c r="G33" s="42"/>
    </row>
  </sheetData>
  <mergeCells count="12">
    <mergeCell ref="A33:G33"/>
    <mergeCell ref="A3:A4"/>
    <mergeCell ref="B3:B4"/>
    <mergeCell ref="C3:C4"/>
    <mergeCell ref="D3:D4"/>
    <mergeCell ref="E3:E4"/>
    <mergeCell ref="A5:A10"/>
    <mergeCell ref="A12:A15"/>
    <mergeCell ref="A17:A20"/>
    <mergeCell ref="A22:A25"/>
    <mergeCell ref="A27:A30"/>
    <mergeCell ref="A32:D32"/>
  </mergeCells>
  <conditionalFormatting sqref="F5:F31">
    <cfRule type="containsText" dxfId="11" priority="1" operator="containsText" text="Terminé">
      <formula>NOT(ISERROR(SEARCH("Terminé",F5)))</formula>
    </cfRule>
    <cfRule type="containsText" dxfId="10" priority="2" operator="containsText" text="En cours">
      <formula>NOT(ISERROR(SEARCH("En cours",F5)))</formula>
    </cfRule>
  </conditionalFormatting>
  <conditionalFormatting sqref="G32">
    <cfRule type="containsText" dxfId="9" priority="3" operator="containsText" text="Terminé">
      <formula>NOT(ISERROR(SEARCH("Terminé",G32)))</formula>
    </cfRule>
    <cfRule type="containsText" dxfId="8" priority="4" operator="containsText" text="En cours">
      <formula>NOT(ISERROR(SEARCH("En cours",G32)))</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3E64D-F4A9-4A98-A33A-AA1A739C83AC}">
  <dimension ref="A1:G33"/>
  <sheetViews>
    <sheetView workbookViewId="0">
      <selection sqref="A1:G33"/>
    </sheetView>
  </sheetViews>
  <sheetFormatPr baseColWidth="10" defaultRowHeight="15" x14ac:dyDescent="0.25"/>
  <cols>
    <col min="2" max="2" width="14.5703125" customWidth="1"/>
    <col min="4" max="4" width="42.28515625" customWidth="1"/>
    <col min="5" max="5" width="54.5703125" customWidth="1"/>
    <col min="6" max="6" width="21.42578125" customWidth="1"/>
  </cols>
  <sheetData>
    <row r="1" spans="1:7" x14ac:dyDescent="0.25">
      <c r="A1" s="2" t="s">
        <v>16</v>
      </c>
      <c r="B1" s="2"/>
      <c r="C1" s="2"/>
      <c r="D1" s="7" t="s">
        <v>14</v>
      </c>
      <c r="E1" s="2"/>
      <c r="F1" s="2"/>
      <c r="G1" s="3" t="s">
        <v>13</v>
      </c>
    </row>
    <row r="2" spans="1:7" x14ac:dyDescent="0.25">
      <c r="A2" s="2" t="s">
        <v>20</v>
      </c>
      <c r="B2" s="2"/>
      <c r="C2" s="2"/>
      <c r="D2" s="2"/>
      <c r="E2" s="2"/>
      <c r="F2" s="2"/>
      <c r="G2" s="2"/>
    </row>
    <row r="3" spans="1:7" x14ac:dyDescent="0.25">
      <c r="A3" s="43" t="s">
        <v>0</v>
      </c>
      <c r="B3" s="43" t="s">
        <v>1</v>
      </c>
      <c r="C3" s="44" t="s">
        <v>17</v>
      </c>
      <c r="D3" s="43" t="s">
        <v>18</v>
      </c>
      <c r="E3" s="45" t="s">
        <v>19</v>
      </c>
      <c r="F3" s="8" t="s">
        <v>2</v>
      </c>
      <c r="G3" s="9" t="s">
        <v>4</v>
      </c>
    </row>
    <row r="4" spans="1:7" x14ac:dyDescent="0.25">
      <c r="A4" s="43"/>
      <c r="B4" s="43"/>
      <c r="C4" s="44"/>
      <c r="D4" s="43"/>
      <c r="E4" s="45"/>
      <c r="F4" s="11" t="s">
        <v>3</v>
      </c>
      <c r="G4" s="12" t="s">
        <v>3</v>
      </c>
    </row>
    <row r="5" spans="1:7" x14ac:dyDescent="0.25">
      <c r="A5" s="46" t="s">
        <v>6</v>
      </c>
      <c r="B5" s="5"/>
      <c r="C5" s="5"/>
      <c r="D5" s="5"/>
      <c r="E5" s="4"/>
      <c r="F5" s="13"/>
      <c r="G5" s="14"/>
    </row>
    <row r="6" spans="1:7" x14ac:dyDescent="0.25">
      <c r="A6" s="47"/>
      <c r="B6" s="5"/>
      <c r="C6" s="5"/>
      <c r="D6" s="5"/>
      <c r="E6" s="5"/>
      <c r="F6" s="13"/>
      <c r="G6" s="14"/>
    </row>
    <row r="7" spans="1:7" x14ac:dyDescent="0.25">
      <c r="A7" s="47"/>
      <c r="B7" s="5"/>
      <c r="C7" s="5"/>
      <c r="D7" s="5"/>
      <c r="E7" s="5"/>
      <c r="F7" s="13"/>
      <c r="G7" s="14"/>
    </row>
    <row r="8" spans="1:7" x14ac:dyDescent="0.25">
      <c r="A8" s="47"/>
      <c r="B8" s="5"/>
      <c r="C8" s="4"/>
      <c r="D8" s="4"/>
      <c r="E8" s="4"/>
      <c r="F8" s="6"/>
      <c r="G8" s="14"/>
    </row>
    <row r="9" spans="1:7" x14ac:dyDescent="0.25">
      <c r="A9" s="47"/>
      <c r="B9" s="4"/>
      <c r="C9" s="4"/>
      <c r="D9" s="4"/>
      <c r="E9" s="4"/>
      <c r="F9" s="6"/>
      <c r="G9" s="14"/>
    </row>
    <row r="10" spans="1:7" x14ac:dyDescent="0.25">
      <c r="A10" s="47"/>
      <c r="B10" s="4"/>
      <c r="C10" s="4"/>
      <c r="D10" s="4"/>
      <c r="E10" s="4"/>
      <c r="F10" s="6"/>
      <c r="G10" s="14"/>
    </row>
    <row r="11" spans="1:7" x14ac:dyDescent="0.25">
      <c r="A11" s="15" t="s">
        <v>21</v>
      </c>
      <c r="B11" s="16"/>
      <c r="C11" s="16"/>
      <c r="D11" s="16"/>
      <c r="E11" s="17" t="s">
        <v>11</v>
      </c>
      <c r="F11" s="18">
        <f>SUM(F5:F10)</f>
        <v>0</v>
      </c>
      <c r="G11" s="14"/>
    </row>
    <row r="12" spans="1:7" x14ac:dyDescent="0.25">
      <c r="A12" s="47" t="s">
        <v>5</v>
      </c>
      <c r="B12" s="4"/>
      <c r="C12" s="4"/>
      <c r="D12" s="4"/>
      <c r="E12" s="4"/>
      <c r="F12" s="6"/>
      <c r="G12" s="14"/>
    </row>
    <row r="13" spans="1:7" x14ac:dyDescent="0.25">
      <c r="A13" s="47"/>
      <c r="B13" s="4"/>
      <c r="C13" s="4"/>
      <c r="D13" s="4"/>
      <c r="E13" s="4"/>
      <c r="F13" s="6"/>
      <c r="G13" s="14"/>
    </row>
    <row r="14" spans="1:7" x14ac:dyDescent="0.25">
      <c r="A14" s="47"/>
      <c r="B14" s="4"/>
      <c r="C14" s="4"/>
      <c r="D14" s="4"/>
      <c r="E14" s="4"/>
      <c r="F14" s="6"/>
      <c r="G14" s="14"/>
    </row>
    <row r="15" spans="1:7" x14ac:dyDescent="0.25">
      <c r="A15" s="47"/>
      <c r="B15" s="4"/>
      <c r="C15" s="4"/>
      <c r="D15" s="4"/>
      <c r="E15" s="4"/>
      <c r="F15" s="6"/>
      <c r="G15" s="14"/>
    </row>
    <row r="16" spans="1:7" x14ac:dyDescent="0.25">
      <c r="A16" s="31">
        <v>45301</v>
      </c>
      <c r="B16" s="16"/>
      <c r="C16" s="16"/>
      <c r="D16" s="16"/>
      <c r="E16" s="17" t="s">
        <v>11</v>
      </c>
      <c r="F16" s="18">
        <f>SUM(F12:F15)</f>
        <v>0</v>
      </c>
      <c r="G16" s="14"/>
    </row>
    <row r="17" spans="1:7" x14ac:dyDescent="0.25">
      <c r="A17" s="47" t="s">
        <v>7</v>
      </c>
      <c r="B17" s="4"/>
      <c r="C17" s="4"/>
      <c r="D17" s="4"/>
      <c r="E17" s="4"/>
      <c r="F17" s="6"/>
      <c r="G17" s="14"/>
    </row>
    <row r="18" spans="1:7" x14ac:dyDescent="0.25">
      <c r="A18" s="47"/>
      <c r="B18" s="4"/>
      <c r="C18" s="4"/>
      <c r="D18" s="4"/>
      <c r="E18" s="4"/>
      <c r="F18" s="6"/>
      <c r="G18" s="14"/>
    </row>
    <row r="19" spans="1:7" x14ac:dyDescent="0.25">
      <c r="A19" s="47"/>
      <c r="B19" s="4"/>
      <c r="C19" s="4"/>
      <c r="D19" s="4"/>
      <c r="E19" s="4"/>
      <c r="F19" s="6"/>
      <c r="G19" s="14"/>
    </row>
    <row r="20" spans="1:7" x14ac:dyDescent="0.25">
      <c r="A20" s="47"/>
      <c r="B20" s="4"/>
      <c r="C20" s="4"/>
      <c r="D20" s="4"/>
      <c r="E20" s="4"/>
      <c r="F20" s="6"/>
      <c r="G20" s="14"/>
    </row>
    <row r="21" spans="1:7" x14ac:dyDescent="0.25">
      <c r="A21" s="31">
        <v>45332</v>
      </c>
      <c r="B21" s="16"/>
      <c r="C21" s="16"/>
      <c r="D21" s="16"/>
      <c r="E21" s="17" t="s">
        <v>11</v>
      </c>
      <c r="F21" s="18">
        <f>SUM(F17:F20)</f>
        <v>0</v>
      </c>
      <c r="G21" s="14"/>
    </row>
    <row r="22" spans="1:7" x14ac:dyDescent="0.25">
      <c r="A22" s="47" t="s">
        <v>8</v>
      </c>
      <c r="B22" s="4"/>
      <c r="C22" s="4"/>
      <c r="D22" s="4"/>
      <c r="E22" s="4"/>
      <c r="F22" s="6"/>
      <c r="G22" s="14"/>
    </row>
    <row r="23" spans="1:7" x14ac:dyDescent="0.25">
      <c r="A23" s="47"/>
      <c r="B23" s="4"/>
      <c r="C23" s="4"/>
      <c r="D23" s="4"/>
      <c r="E23" s="4"/>
      <c r="F23" s="6"/>
      <c r="G23" s="14"/>
    </row>
    <row r="24" spans="1:7" x14ac:dyDescent="0.25">
      <c r="A24" s="47"/>
      <c r="B24" s="4"/>
      <c r="C24" s="4"/>
      <c r="D24" s="4"/>
      <c r="E24" s="4"/>
      <c r="F24" s="6"/>
      <c r="G24" s="14"/>
    </row>
    <row r="25" spans="1:7" x14ac:dyDescent="0.25">
      <c r="A25" s="47"/>
      <c r="B25" s="4"/>
      <c r="C25" s="4"/>
      <c r="D25" s="4"/>
      <c r="E25" s="4"/>
      <c r="F25" s="6"/>
      <c r="G25" s="14"/>
    </row>
    <row r="26" spans="1:7" x14ac:dyDescent="0.25">
      <c r="A26" s="31">
        <v>45361</v>
      </c>
      <c r="B26" s="16"/>
      <c r="C26" s="16"/>
      <c r="D26" s="16"/>
      <c r="E26" s="17" t="s">
        <v>11</v>
      </c>
      <c r="F26" s="18">
        <f>SUM(F22:F25)</f>
        <v>0</v>
      </c>
      <c r="G26" s="14"/>
    </row>
    <row r="27" spans="1:7" x14ac:dyDescent="0.25">
      <c r="A27" s="47" t="s">
        <v>9</v>
      </c>
      <c r="B27" s="4"/>
      <c r="C27" s="4"/>
      <c r="D27" s="4"/>
      <c r="E27" s="4"/>
      <c r="F27" s="6"/>
      <c r="G27" s="14"/>
    </row>
    <row r="28" spans="1:7" x14ac:dyDescent="0.25">
      <c r="A28" s="47"/>
      <c r="B28" s="4"/>
      <c r="C28" s="4"/>
      <c r="D28" s="4"/>
      <c r="E28" s="4"/>
      <c r="F28" s="6"/>
      <c r="G28" s="14"/>
    </row>
    <row r="29" spans="1:7" x14ac:dyDescent="0.25">
      <c r="A29" s="47"/>
      <c r="B29" s="4"/>
      <c r="C29" s="4"/>
      <c r="D29" s="4"/>
      <c r="E29" s="4"/>
      <c r="F29" s="6"/>
      <c r="G29" s="14"/>
    </row>
    <row r="30" spans="1:7" x14ac:dyDescent="0.25">
      <c r="A30" s="47"/>
      <c r="B30" s="4"/>
      <c r="C30" s="4"/>
      <c r="D30" s="4"/>
      <c r="E30" s="4"/>
      <c r="F30" s="6"/>
      <c r="G30" s="14"/>
    </row>
    <row r="31" spans="1:7" x14ac:dyDescent="0.25">
      <c r="A31" s="31">
        <v>45392</v>
      </c>
      <c r="B31" s="19"/>
      <c r="C31" s="19"/>
      <c r="D31" s="19"/>
      <c r="E31" s="20" t="s">
        <v>11</v>
      </c>
      <c r="F31" s="21">
        <f>SUM(F27:F30)</f>
        <v>0</v>
      </c>
      <c r="G31" s="14"/>
    </row>
    <row r="32" spans="1:7" x14ac:dyDescent="0.25">
      <c r="A32" s="43" t="s">
        <v>10</v>
      </c>
      <c r="B32" s="43"/>
      <c r="C32" s="43"/>
      <c r="D32" s="43"/>
      <c r="E32" s="17"/>
      <c r="F32" s="17" t="s">
        <v>12</v>
      </c>
      <c r="G32" s="22">
        <f>F11+F16+F21+F26+F31</f>
        <v>0</v>
      </c>
    </row>
    <row r="33" spans="1:7" x14ac:dyDescent="0.25">
      <c r="A33" s="40" t="s">
        <v>15</v>
      </c>
      <c r="B33" s="41"/>
      <c r="C33" s="41"/>
      <c r="D33" s="41"/>
      <c r="E33" s="41"/>
      <c r="F33" s="41"/>
      <c r="G33" s="42"/>
    </row>
  </sheetData>
  <mergeCells count="12">
    <mergeCell ref="A33:G33"/>
    <mergeCell ref="A3:A4"/>
    <mergeCell ref="B3:B4"/>
    <mergeCell ref="C3:C4"/>
    <mergeCell ref="D3:D4"/>
    <mergeCell ref="E3:E4"/>
    <mergeCell ref="A5:A10"/>
    <mergeCell ref="A12:A15"/>
    <mergeCell ref="A17:A20"/>
    <mergeCell ref="A22:A25"/>
    <mergeCell ref="A27:A30"/>
    <mergeCell ref="A32:D32"/>
  </mergeCells>
  <conditionalFormatting sqref="F5:F31">
    <cfRule type="containsText" dxfId="7" priority="1" operator="containsText" text="Terminé">
      <formula>NOT(ISERROR(SEARCH("Terminé",F5)))</formula>
    </cfRule>
    <cfRule type="containsText" dxfId="6" priority="2" operator="containsText" text="En cours">
      <formula>NOT(ISERROR(SEARCH("En cours",F5)))</formula>
    </cfRule>
  </conditionalFormatting>
  <conditionalFormatting sqref="G32">
    <cfRule type="containsText" dxfId="5" priority="3" operator="containsText" text="Terminé">
      <formula>NOT(ISERROR(SEARCH("Terminé",G32)))</formula>
    </cfRule>
    <cfRule type="containsText" dxfId="4" priority="4" operator="containsText" text="En cours">
      <formula>NOT(ISERROR(SEARCH("En cours",G32)))</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669D8-B6C7-4E9A-864D-1ABF968F1876}">
  <dimension ref="A1:G33"/>
  <sheetViews>
    <sheetView workbookViewId="0">
      <selection activeCell="D7" sqref="D7"/>
    </sheetView>
  </sheetViews>
  <sheetFormatPr baseColWidth="10" defaultRowHeight="15" x14ac:dyDescent="0.25"/>
  <cols>
    <col min="4" max="4" width="51.85546875" customWidth="1"/>
    <col min="5" max="5" width="48.140625" customWidth="1"/>
  </cols>
  <sheetData>
    <row r="1" spans="1:7" x14ac:dyDescent="0.25">
      <c r="A1" s="2" t="s">
        <v>16</v>
      </c>
      <c r="B1" s="2"/>
      <c r="C1" s="2"/>
      <c r="D1" s="7" t="s">
        <v>14</v>
      </c>
      <c r="E1" s="2"/>
      <c r="F1" s="2"/>
      <c r="G1" s="3" t="s">
        <v>13</v>
      </c>
    </row>
    <row r="2" spans="1:7" x14ac:dyDescent="0.25">
      <c r="A2" s="2" t="s">
        <v>20</v>
      </c>
      <c r="B2" s="2"/>
      <c r="C2" s="2"/>
      <c r="D2" s="2"/>
      <c r="E2" s="2"/>
      <c r="F2" s="2"/>
      <c r="G2" s="2"/>
    </row>
    <row r="3" spans="1:7" x14ac:dyDescent="0.25">
      <c r="A3" s="43" t="s">
        <v>0</v>
      </c>
      <c r="B3" s="43" t="s">
        <v>1</v>
      </c>
      <c r="C3" s="44" t="s">
        <v>17</v>
      </c>
      <c r="D3" s="43" t="s">
        <v>18</v>
      </c>
      <c r="E3" s="45" t="s">
        <v>19</v>
      </c>
      <c r="F3" s="8" t="s">
        <v>2</v>
      </c>
      <c r="G3" s="9" t="s">
        <v>4</v>
      </c>
    </row>
    <row r="4" spans="1:7" x14ac:dyDescent="0.25">
      <c r="A4" s="43"/>
      <c r="B4" s="43"/>
      <c r="C4" s="44"/>
      <c r="D4" s="43"/>
      <c r="E4" s="45"/>
      <c r="F4" s="11" t="s">
        <v>3</v>
      </c>
      <c r="G4" s="12" t="s">
        <v>3</v>
      </c>
    </row>
    <row r="5" spans="1:7" x14ac:dyDescent="0.25">
      <c r="A5" s="46" t="s">
        <v>6</v>
      </c>
      <c r="B5" s="5"/>
      <c r="C5" s="5"/>
      <c r="D5" s="5"/>
      <c r="E5" s="4"/>
      <c r="F5" s="13"/>
      <c r="G5" s="14"/>
    </row>
    <row r="6" spans="1:7" x14ac:dyDescent="0.25">
      <c r="A6" s="47"/>
      <c r="B6" s="5"/>
      <c r="C6" s="5"/>
      <c r="D6" s="5"/>
      <c r="E6" s="5"/>
      <c r="F6" s="13"/>
      <c r="G6" s="14"/>
    </row>
    <row r="7" spans="1:7" x14ac:dyDescent="0.25">
      <c r="A7" s="47"/>
      <c r="B7" s="5"/>
      <c r="C7" s="5"/>
      <c r="E7" s="5"/>
      <c r="F7" s="13"/>
      <c r="G7" s="14"/>
    </row>
    <row r="8" spans="1:7" x14ac:dyDescent="0.25">
      <c r="A8" s="47"/>
      <c r="B8" s="5"/>
      <c r="C8" s="4"/>
      <c r="D8" s="4"/>
      <c r="E8" s="4"/>
      <c r="F8" s="6"/>
      <c r="G8" s="14"/>
    </row>
    <row r="9" spans="1:7" x14ac:dyDescent="0.25">
      <c r="A9" s="47"/>
      <c r="B9" s="4"/>
      <c r="C9" s="4"/>
      <c r="D9" s="4"/>
      <c r="E9" s="4"/>
      <c r="F9" s="6"/>
      <c r="G9" s="14"/>
    </row>
    <row r="10" spans="1:7" x14ac:dyDescent="0.25">
      <c r="A10" s="47"/>
      <c r="B10" s="4"/>
      <c r="C10" s="4"/>
      <c r="D10" s="4"/>
      <c r="E10" s="4"/>
      <c r="F10" s="6"/>
      <c r="G10" s="14"/>
    </row>
    <row r="11" spans="1:7" x14ac:dyDescent="0.25">
      <c r="A11" s="15" t="s">
        <v>21</v>
      </c>
      <c r="B11" s="16"/>
      <c r="C11" s="16"/>
      <c r="D11" s="16"/>
      <c r="E11" s="17" t="s">
        <v>11</v>
      </c>
      <c r="F11" s="18">
        <f>SUM(F5:F10)</f>
        <v>0</v>
      </c>
      <c r="G11" s="14"/>
    </row>
    <row r="12" spans="1:7" x14ac:dyDescent="0.25">
      <c r="A12" s="47" t="s">
        <v>5</v>
      </c>
      <c r="B12" s="4"/>
      <c r="C12" s="4"/>
      <c r="D12" s="4"/>
      <c r="E12" s="4"/>
      <c r="F12" s="6"/>
      <c r="G12" s="14"/>
    </row>
    <row r="13" spans="1:7" x14ac:dyDescent="0.25">
      <c r="A13" s="47"/>
      <c r="B13" s="4"/>
      <c r="C13" s="4"/>
      <c r="D13" s="4"/>
      <c r="E13" s="4"/>
      <c r="F13" s="6"/>
      <c r="G13" s="14"/>
    </row>
    <row r="14" spans="1:7" x14ac:dyDescent="0.25">
      <c r="A14" s="47"/>
      <c r="B14" s="4"/>
      <c r="C14" s="4"/>
      <c r="D14" s="4"/>
      <c r="E14" s="4"/>
      <c r="F14" s="6"/>
      <c r="G14" s="14"/>
    </row>
    <row r="15" spans="1:7" x14ac:dyDescent="0.25">
      <c r="A15" s="47"/>
      <c r="B15" s="4"/>
      <c r="C15" s="4"/>
      <c r="D15" s="4"/>
      <c r="E15" s="4"/>
      <c r="F15" s="6"/>
      <c r="G15" s="14"/>
    </row>
    <row r="16" spans="1:7" x14ac:dyDescent="0.25">
      <c r="A16" s="31">
        <v>45301</v>
      </c>
      <c r="B16" s="16"/>
      <c r="C16" s="16"/>
      <c r="D16" s="16"/>
      <c r="E16" s="17" t="s">
        <v>11</v>
      </c>
      <c r="F16" s="18">
        <f>SUM(F12:F15)</f>
        <v>0</v>
      </c>
      <c r="G16" s="14"/>
    </row>
    <row r="17" spans="1:7" x14ac:dyDescent="0.25">
      <c r="A17" s="47" t="s">
        <v>7</v>
      </c>
      <c r="B17" s="4"/>
      <c r="C17" s="4"/>
      <c r="D17" s="4"/>
      <c r="E17" s="4"/>
      <c r="F17" s="6"/>
      <c r="G17" s="14"/>
    </row>
    <row r="18" spans="1:7" x14ac:dyDescent="0.25">
      <c r="A18" s="47"/>
      <c r="B18" s="4"/>
      <c r="C18" s="4"/>
      <c r="D18" s="4"/>
      <c r="E18" s="4"/>
      <c r="F18" s="6"/>
      <c r="G18" s="14"/>
    </row>
    <row r="19" spans="1:7" x14ac:dyDescent="0.25">
      <c r="A19" s="47"/>
      <c r="B19" s="4"/>
      <c r="C19" s="4"/>
      <c r="D19" s="4"/>
      <c r="E19" s="4"/>
      <c r="F19" s="6"/>
      <c r="G19" s="14"/>
    </row>
    <row r="20" spans="1:7" x14ac:dyDescent="0.25">
      <c r="A20" s="47"/>
      <c r="B20" s="4"/>
      <c r="C20" s="4"/>
      <c r="D20" s="4"/>
      <c r="E20" s="4"/>
      <c r="F20" s="6"/>
      <c r="G20" s="14"/>
    </row>
    <row r="21" spans="1:7" x14ac:dyDescent="0.25">
      <c r="A21" s="31">
        <v>45332</v>
      </c>
      <c r="B21" s="16"/>
      <c r="C21" s="16"/>
      <c r="D21" s="16"/>
      <c r="E21" s="17" t="s">
        <v>11</v>
      </c>
      <c r="F21" s="18">
        <f>SUM(F17:F20)</f>
        <v>0</v>
      </c>
      <c r="G21" s="14"/>
    </row>
    <row r="22" spans="1:7" x14ac:dyDescent="0.25">
      <c r="A22" s="47" t="s">
        <v>8</v>
      </c>
      <c r="B22" s="4"/>
      <c r="C22" s="4"/>
      <c r="D22" s="4"/>
      <c r="E22" s="4"/>
      <c r="F22" s="6"/>
      <c r="G22" s="14"/>
    </row>
    <row r="23" spans="1:7" x14ac:dyDescent="0.25">
      <c r="A23" s="47"/>
      <c r="B23" s="4"/>
      <c r="C23" s="4"/>
      <c r="D23" s="4"/>
      <c r="E23" s="4"/>
      <c r="F23" s="6"/>
      <c r="G23" s="14"/>
    </row>
    <row r="24" spans="1:7" x14ac:dyDescent="0.25">
      <c r="A24" s="47"/>
      <c r="B24" s="4"/>
      <c r="C24" s="4"/>
      <c r="D24" s="4"/>
      <c r="E24" s="4"/>
      <c r="F24" s="6"/>
      <c r="G24" s="14"/>
    </row>
    <row r="25" spans="1:7" x14ac:dyDescent="0.25">
      <c r="A25" s="47"/>
      <c r="B25" s="4"/>
      <c r="C25" s="4"/>
      <c r="D25" s="4"/>
      <c r="E25" s="4"/>
      <c r="F25" s="6"/>
      <c r="G25" s="14"/>
    </row>
    <row r="26" spans="1:7" x14ac:dyDescent="0.25">
      <c r="A26" s="31">
        <v>45361</v>
      </c>
      <c r="B26" s="16"/>
      <c r="C26" s="16"/>
      <c r="D26" s="16"/>
      <c r="E26" s="17" t="s">
        <v>11</v>
      </c>
      <c r="F26" s="18">
        <f>SUM(F22:F25)</f>
        <v>0</v>
      </c>
      <c r="G26" s="14"/>
    </row>
    <row r="27" spans="1:7" x14ac:dyDescent="0.25">
      <c r="A27" s="47" t="s">
        <v>9</v>
      </c>
      <c r="B27" s="4"/>
      <c r="C27" s="4"/>
      <c r="D27" s="4"/>
      <c r="E27" s="4"/>
      <c r="F27" s="6"/>
      <c r="G27" s="14"/>
    </row>
    <row r="28" spans="1:7" x14ac:dyDescent="0.25">
      <c r="A28" s="47"/>
      <c r="B28" s="4"/>
      <c r="C28" s="4"/>
      <c r="D28" s="4"/>
      <c r="E28" s="4"/>
      <c r="F28" s="6"/>
      <c r="G28" s="14"/>
    </row>
    <row r="29" spans="1:7" x14ac:dyDescent="0.25">
      <c r="A29" s="47"/>
      <c r="B29" s="4"/>
      <c r="C29" s="4"/>
      <c r="D29" s="4"/>
      <c r="E29" s="4"/>
      <c r="F29" s="6"/>
      <c r="G29" s="14"/>
    </row>
    <row r="30" spans="1:7" x14ac:dyDescent="0.25">
      <c r="A30" s="47"/>
      <c r="B30" s="4"/>
      <c r="C30" s="4"/>
      <c r="D30" s="4"/>
      <c r="E30" s="4"/>
      <c r="F30" s="6"/>
      <c r="G30" s="14"/>
    </row>
    <row r="31" spans="1:7" x14ac:dyDescent="0.25">
      <c r="A31" s="31">
        <v>45392</v>
      </c>
      <c r="B31" s="19"/>
      <c r="C31" s="19"/>
      <c r="D31" s="19"/>
      <c r="E31" s="20" t="s">
        <v>11</v>
      </c>
      <c r="F31" s="21">
        <f>SUM(F27:F30)</f>
        <v>0</v>
      </c>
      <c r="G31" s="14"/>
    </row>
    <row r="32" spans="1:7" x14ac:dyDescent="0.25">
      <c r="A32" s="43" t="s">
        <v>10</v>
      </c>
      <c r="B32" s="43"/>
      <c r="C32" s="43"/>
      <c r="D32" s="43"/>
      <c r="E32" s="17"/>
      <c r="F32" s="17" t="s">
        <v>12</v>
      </c>
      <c r="G32" s="22">
        <f>F11+F16+F21+F26+F31</f>
        <v>0</v>
      </c>
    </row>
    <row r="33" spans="1:7" x14ac:dyDescent="0.25">
      <c r="A33" s="40" t="s">
        <v>15</v>
      </c>
      <c r="B33" s="41"/>
      <c r="C33" s="41"/>
      <c r="D33" s="41"/>
      <c r="E33" s="41"/>
      <c r="F33" s="41"/>
      <c r="G33" s="42"/>
    </row>
  </sheetData>
  <mergeCells count="12">
    <mergeCell ref="A33:G33"/>
    <mergeCell ref="A3:A4"/>
    <mergeCell ref="B3:B4"/>
    <mergeCell ref="C3:C4"/>
    <mergeCell ref="D3:D4"/>
    <mergeCell ref="E3:E4"/>
    <mergeCell ref="A5:A10"/>
    <mergeCell ref="A12:A15"/>
    <mergeCell ref="A17:A20"/>
    <mergeCell ref="A22:A25"/>
    <mergeCell ref="A27:A30"/>
    <mergeCell ref="A32:D32"/>
  </mergeCells>
  <conditionalFormatting sqref="F5:F31">
    <cfRule type="containsText" dxfId="3" priority="1" operator="containsText" text="Terminé">
      <formula>NOT(ISERROR(SEARCH("Terminé",F5)))</formula>
    </cfRule>
    <cfRule type="containsText" dxfId="2" priority="2" operator="containsText" text="En cours">
      <formula>NOT(ISERROR(SEARCH("En cours",F5)))</formula>
    </cfRule>
  </conditionalFormatting>
  <conditionalFormatting sqref="G32">
    <cfRule type="containsText" dxfId="1" priority="3" operator="containsText" text="Terminé">
      <formula>NOT(ISERROR(SEARCH("Terminé",G32)))</formula>
    </cfRule>
    <cfRule type="containsText" dxfId="0" priority="4" operator="containsText" text="En cours">
      <formula>NOT(ISERROR(SEARCH("En cours",G32)))</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baseColWidth="10" defaultRowHeight="15" x14ac:dyDescent="0.25"/>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s1</vt:lpstr>
      <vt:lpstr>s2</vt:lpstr>
      <vt:lpstr>s3</vt:lpstr>
      <vt:lpstr>s4</vt:lpstr>
      <vt:lpstr>s5</vt:lpstr>
      <vt:lpstr>s6</vt:lpstr>
      <vt:lpstr>s7</vt:lpstr>
      <vt:lpstr>total</vt:lpstr>
    </vt:vector>
  </TitlesOfParts>
  <Company>Etat de Fribourg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Gauch Laurent</dc:creator>
  <cp:lastModifiedBy>Bourquenoud Alexandre</cp:lastModifiedBy>
  <cp:lastPrinted>2025-05-30T14:46:55Z</cp:lastPrinted>
  <dcterms:created xsi:type="dcterms:W3CDTF">2020-08-29T17:40:34Z</dcterms:created>
  <dcterms:modified xsi:type="dcterms:W3CDTF">2025-06-03T14:48:54Z</dcterms:modified>
</cp:coreProperties>
</file>